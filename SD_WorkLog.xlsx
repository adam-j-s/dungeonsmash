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C8372AD3-B26D-4340-B87B-F937DF64035B}" xr6:coauthVersionLast="47" xr6:coauthVersionMax="47" xr10:uidLastSave="{00000000-0000-0000-0000-000000000000}"/>
  <bookViews>
    <workbookView xWindow="-120" yWindow="-120" windowWidth="29040" windowHeight="15720" xr2:uid="{F19D98A7-6420-4EF7-85AF-F6CF1D239D63}"/>
  </bookViews>
  <sheets>
    <sheet name="Smash Dungeon" sheetId="1" r:id="rId1"/>
    <sheet name="Card Combiner" sheetId="3" r:id="rId2"/>
    <sheet name="Godot Learning"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48" i="1" l="1"/>
  <c r="D4" i="1" s="1"/>
  <c r="G47" i="1"/>
  <c r="G43" i="1"/>
  <c r="G44" i="1"/>
  <c r="G40" i="1"/>
  <c r="G41" i="1"/>
  <c r="G42" i="1"/>
  <c r="G45" i="1"/>
  <c r="G46" i="1"/>
  <c r="G36" i="1"/>
  <c r="G39" i="1"/>
  <c r="G38" i="1"/>
  <c r="G37" i="1"/>
  <c r="G35" i="1"/>
  <c r="G34" i="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C4" i="2" l="1"/>
</calcChain>
</file>

<file path=xl/sharedStrings.xml><?xml version="1.0" encoding="utf-8"?>
<sst xmlns="http://schemas.openxmlformats.org/spreadsheetml/2006/main" count="111" uniqueCount="61">
  <si>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</si>
  <si>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</si>
  <si>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</si>
  <si>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</si>
  <si>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</si>
  <si>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</si>
  <si>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</si>
  <si>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</si>
  <si>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</si>
  <si>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</si>
  <si>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</si>
  <si>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</si>
  <si>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</si>
  <si>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</si>
  <si>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</si>
  <si>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</si>
  <si>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</si>
  <si>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</si>
  <si>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</si>
  <si>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</si>
  <si>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</si>
  <si>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</si>
  <si>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</si>
  <si>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</si>
  <si>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</si>
  <si>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</si>
  <si>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</si>
  <si>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</si>
  <si>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</si>
  <si>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</si>
  <si>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</si>
  <si>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</si>
  <si>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</si>
  <si>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</si>
  <si>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</si>
  <si>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</si>
  <si>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</si>
  <si>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</si>
  <si>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</si>
  <si>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</si>
  <si>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</si>
  <si>
    <t>Fixed bugs with cooldown/weapons
- All weapons now working
- Faster attacks
- started trying to implement new cooldown UI</t>
  </si>
  <si>
    <t>Need to get slower attacks trialed</t>
  </si>
  <si>
    <t>trial adding some new weapons?</t>
  </si>
  <si>
    <t>Changed UI for cooldown</t>
  </si>
  <si>
    <t>Weapon System</t>
  </si>
  <si>
    <t>Made some decisions on weapon progression in single player
- persistent weapon with scaling, and weapon drops that carry over (timed or with limited projectiles)</t>
  </si>
  <si>
    <t>Items/Tarot/Ritual</t>
  </si>
  <si>
    <t>Conceptual work on how system might work</t>
  </si>
  <si>
    <t>Added basic implemention of adding weapon sprites</t>
  </si>
  <si>
    <t>Weapon Sprites</t>
  </si>
  <si>
    <t>Adding Friendly Fire</t>
  </si>
  <si>
    <t>Adding Friendly Fire and reordering CSV</t>
  </si>
  <si>
    <t>Added Friendly fire - BUT THE WRONG MECHANIC!!!</t>
  </si>
  <si>
    <t>Added self-damage</t>
  </si>
  <si>
    <t>Looking into JSON storage solution</t>
  </si>
  <si>
    <t>Completing JSON setup</t>
  </si>
  <si>
    <t>Completed JSON setup</t>
  </si>
  <si>
    <t>Looking into fixing Singularity bomb</t>
  </si>
  <si>
    <t>Level System</t>
  </si>
  <si>
    <t>Starting to think about creating new levels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</si>
</sst>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3">
    <fill>
      <patternFill patternType="none"/>
    </fill>
    <fill>
      <patternFill patternType="gray125"/>
    </fill>
    <fill>
      <patternFill patternType="solid">
        <fgColor theme="6" tint="0.79998168889431442"/>
        <bgColor theme="6" tint="0.79998168889431442"/>
      </patternFill>
    </fill>
  </fills>
  <borders count="2">
    <border>
      <left/>
      <right/>
      <top/>
      <bottom/>
      <diagonal/>
    </border>
    <border>
      <left style="thin">
        <color theme="6"/>
      </left>
      <right style="thin">
        <color theme="6"/>
      </right>
      <top style="thin">
        <color theme="6"/>
      </top>
      <bottom style="thin">
        <color theme="6"/>
      </bottom>
      <diagonal/>
    </border>
  </borders>
  <cellStyleXfs count="1">
    <xf numFmtId="0" fontId="0" fillId="0" borderId="0"/>
  </cellStyleXfs>
  <cellXfs count="10">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xf numFmtId="0" fontId="0" fillId="2" borderId="1" xfId="0" applyFill="1" applyBorder="1" applyAlignment="1">
      <alignment wrapText="1"/>
    </xf>
    <xf numFmtId="0" fontId="0" fillId="0" borderId="1" xfId="0" applyBorder="1" applyAlignment="1">
      <alignment wrapText="1"/>
    </xf>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48" totalsRowShown="0">
  <autoFilter ref="B6:G48"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52"/>
  <sheetViews>
    <sheetView tabSelected="1" topLeftCell="A34" workbookViewId="0">
      <selection activeCell="F48" sqref="F48"/>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SUM(G7:G48)</f>
        <v>4.3618055555555557</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ht="60" x14ac:dyDescent="0.25">
      <c r="C34" s="2">
        <v>0.89722222222222225</v>
      </c>
      <c r="D34" s="2">
        <v>0.95833333333333337</v>
      </c>
      <c r="E34" t="s">
        <v>1</v>
      </c>
      <c r="F34" s="3" t="s">
        <v>41</v>
      </c>
      <c r="G34" s="2">
        <f t="shared" ref="G34:G39" si="4">IF(D34&lt;C34, D34+1, D34) - C34</f>
        <v>6.1111111111111116E-2</v>
      </c>
    </row>
    <row r="35" spans="2:7" x14ac:dyDescent="0.25">
      <c r="B35" s="1">
        <v>45754</v>
      </c>
      <c r="C35" s="2">
        <v>0.63541666666666663</v>
      </c>
      <c r="D35" s="2">
        <v>0.70833333333333337</v>
      </c>
      <c r="E35" t="s">
        <v>1</v>
      </c>
      <c r="F35" s="3" t="s">
        <v>44</v>
      </c>
      <c r="G35" s="2">
        <f t="shared" si="4"/>
        <v>7.2916666666666741E-2</v>
      </c>
    </row>
    <row r="36" spans="2:7" x14ac:dyDescent="0.25">
      <c r="B36" s="1"/>
      <c r="C36" s="2">
        <v>0.70833333333333337</v>
      </c>
      <c r="D36" s="2">
        <v>0.875</v>
      </c>
      <c r="E36" t="s">
        <v>47</v>
      </c>
      <c r="F36" s="3" t="s">
        <v>48</v>
      </c>
      <c r="G36" s="2">
        <f t="shared" si="4"/>
        <v>0.16666666666666663</v>
      </c>
    </row>
    <row r="37" spans="2:7" ht="75" x14ac:dyDescent="0.25">
      <c r="C37" s="2">
        <v>0.89097222222222228</v>
      </c>
      <c r="D37" s="2">
        <v>0.93055555555555558</v>
      </c>
      <c r="E37" t="s">
        <v>45</v>
      </c>
      <c r="F37" s="3" t="s">
        <v>46</v>
      </c>
      <c r="G37" s="2">
        <f t="shared" si="4"/>
        <v>3.9583333333333304E-2</v>
      </c>
    </row>
    <row r="38" spans="2:7" ht="30" x14ac:dyDescent="0.25">
      <c r="C38" s="2">
        <v>0.98611111111111116</v>
      </c>
      <c r="D38" s="2">
        <v>6.9444444444444441E-3</v>
      </c>
      <c r="E38" t="s">
        <v>50</v>
      </c>
      <c r="F38" s="3" t="s">
        <v>49</v>
      </c>
      <c r="G38" s="2">
        <f t="shared" si="4"/>
        <v>2.0833333333333259E-2</v>
      </c>
    </row>
    <row r="39" spans="2:7" x14ac:dyDescent="0.25">
      <c r="B39" s="1">
        <v>45755</v>
      </c>
      <c r="C39" s="2">
        <v>0.64583333333333337</v>
      </c>
      <c r="D39" s="2">
        <v>0.69861111111111107</v>
      </c>
      <c r="E39" t="s">
        <v>45</v>
      </c>
      <c r="F39" s="3" t="s">
        <v>51</v>
      </c>
      <c r="G39" s="2">
        <f t="shared" si="4"/>
        <v>5.2777777777777701E-2</v>
      </c>
    </row>
    <row r="40" spans="2:7" x14ac:dyDescent="0.25">
      <c r="B40" s="1"/>
      <c r="C40" s="2">
        <v>0.90277777777777779</v>
      </c>
      <c r="D40" s="2">
        <v>0.94444444444444442</v>
      </c>
      <c r="E40" t="s">
        <v>45</v>
      </c>
      <c r="F40" s="3" t="s">
        <v>52</v>
      </c>
      <c r="G40" s="2">
        <f>IF(D40&lt;C40, D40+1, D40) - C40</f>
        <v>4.166666666666663E-2</v>
      </c>
    </row>
    <row r="41" spans="2:7" x14ac:dyDescent="0.25">
      <c r="B41" s="1">
        <v>45756</v>
      </c>
      <c r="C41" s="2">
        <v>0.65972222222222221</v>
      </c>
      <c r="D41" s="2">
        <v>0.75</v>
      </c>
      <c r="E41" t="s">
        <v>45</v>
      </c>
      <c r="F41" s="3" t="s">
        <v>53</v>
      </c>
      <c r="G41" s="2">
        <f>IF(D41&lt;C41, D41+1, D41) - C41</f>
        <v>9.027777777777779E-2</v>
      </c>
    </row>
    <row r="42" spans="2:7" x14ac:dyDescent="0.25">
      <c r="B42" s="1"/>
      <c r="C42" s="2">
        <v>0.84513888888888888</v>
      </c>
      <c r="D42" s="2">
        <v>0.9375</v>
      </c>
      <c r="E42" t="s">
        <v>45</v>
      </c>
      <c r="F42" s="3" t="s">
        <v>54</v>
      </c>
      <c r="G42" s="2">
        <f>IF(D42&lt;C42, D42+1, D42) - C42</f>
        <v>9.2361111111111116E-2</v>
      </c>
    </row>
    <row r="43" spans="2:7" x14ac:dyDescent="0.25">
      <c r="B43" s="1">
        <v>45757</v>
      </c>
      <c r="C43" s="2">
        <v>0.68055555555555558</v>
      </c>
      <c r="D43" s="2"/>
      <c r="E43" t="s">
        <v>45</v>
      </c>
      <c r="F43" s="3" t="s">
        <v>55</v>
      </c>
      <c r="G43" s="2">
        <f>IF(D43&lt;C43, D43+1, D43) - C43</f>
        <v>0.31944444444444442</v>
      </c>
    </row>
    <row r="44" spans="2:7" x14ac:dyDescent="0.25">
      <c r="B44" s="1">
        <v>45758</v>
      </c>
      <c r="C44" s="2">
        <v>0.5</v>
      </c>
      <c r="D44" s="2">
        <v>0.65972222222222221</v>
      </c>
      <c r="E44" t="s">
        <v>45</v>
      </c>
      <c r="F44" s="3" t="s">
        <v>56</v>
      </c>
      <c r="G44" s="2">
        <f>IF(D44&lt;C44, D44+1, D44) - C44</f>
        <v>0.15972222222222221</v>
      </c>
    </row>
    <row r="45" spans="2:7" x14ac:dyDescent="0.25">
      <c r="C45" s="2">
        <v>0.66666666666666663</v>
      </c>
      <c r="D45" s="2">
        <v>0.70833333333333337</v>
      </c>
      <c r="E45" t="s">
        <v>45</v>
      </c>
      <c r="F45" s="3" t="s">
        <v>57</v>
      </c>
      <c r="G45" s="2">
        <f t="shared" ref="G45:G46" si="5">IF(D45&lt;C45, D45+1, D45) - C45</f>
        <v>4.1666666666666741E-2</v>
      </c>
    </row>
    <row r="46" spans="2:7" x14ac:dyDescent="0.25">
      <c r="C46" s="2">
        <v>0.70833333333333337</v>
      </c>
      <c r="D46" s="2">
        <v>0.75</v>
      </c>
      <c r="E46" t="s">
        <v>45</v>
      </c>
      <c r="F46" s="3" t="s">
        <v>58</v>
      </c>
      <c r="G46" s="2">
        <f t="shared" si="5"/>
        <v>4.166666666666663E-2</v>
      </c>
    </row>
    <row r="47" spans="2:7" x14ac:dyDescent="0.25">
      <c r="C47" s="2">
        <v>0.75</v>
      </c>
      <c r="D47" s="2">
        <v>0.8125</v>
      </c>
      <c r="E47" t="s">
        <v>59</v>
      </c>
      <c r="F47" s="3" t="s">
        <v>60</v>
      </c>
      <c r="G47" s="2">
        <f>IF(D47&lt;C47, D47+1, D47) - C47</f>
        <v>6.25E-2</v>
      </c>
    </row>
    <row r="48" spans="2:7" x14ac:dyDescent="0.25">
      <c r="C48" s="2">
        <v>0.96875</v>
      </c>
      <c r="D48" s="2"/>
      <c r="E48" t="s">
        <v>59</v>
      </c>
      <c r="G48" s="2">
        <f>IF(D48&lt;C48, D48+1, D48) - C48</f>
        <v>3.125E-2</v>
      </c>
    </row>
    <row r="49" spans="3:7" x14ac:dyDescent="0.25">
      <c r="C49" s="2"/>
      <c r="D49" s="2"/>
      <c r="G49" s="2"/>
    </row>
    <row r="50" spans="3:7" x14ac:dyDescent="0.25">
      <c r="C50" s="2"/>
      <c r="D50" s="2"/>
      <c r="G50" s="2"/>
    </row>
    <row r="51" spans="3:7" x14ac:dyDescent="0.25">
      <c r="F51" s="8" t="s">
        <v>43</v>
      </c>
    </row>
    <row r="52" spans="3:7" x14ac:dyDescent="0.25">
      <c r="F52" s="9" t="s">
        <v>42</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Smash Dungeon</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2025-04-12T04:20:21Z</dcterms:modified>
</cp:coreProperties>
</file>