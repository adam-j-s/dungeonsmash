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893C9328-9735-4328-8EAD-02A688DA494A}" xr6:coauthVersionLast="47" xr6:coauthVersionMax="47" xr10:uidLastSave="{00000000-0000-0000-0000-000000000000}"/>
  <bookViews>
    <workbookView xWindow="-120" yWindow="-120" windowWidth="29040" windowHeight="15720" xr2:uid="{F19D98A7-6420-4EF7-85AF-F6CF1D239D63}"/>
  </bookViews>
  <sheets>
    <sheet name="Smash Dungeon" sheetId="1" r:id="rId1"/>
    <sheet name="Godot Learning"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1" l="1"/>
  <c r="G14" i="1"/>
  <c r="G13" i="1"/>
  <c r="G12" i="1"/>
  <c r="F11" i="2"/>
  <c r="F10" i="2"/>
  <c r="F9" i="2"/>
  <c r="F8" i="2"/>
  <c r="F7" i="2"/>
  <c r="G7" i="1"/>
  <c r="G8" i="1"/>
  <c r="G9" i="1"/>
  <c r="G10" i="1"/>
  <c r="G11" i="1"/>
  <c r="D4" i="1" l="1"/>
  <c r="C4" i="2"/>
</calcChain>
</file>

<file path=xl/sharedStrings.xml><?xml version="1.0" encoding="utf-8"?>
<sst xmlns="http://schemas.openxmlformats.org/spreadsheetml/2006/main" count="36" uniqueCount="22">
  <si>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</si>
  <si>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</si>
  <si>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</si>
  <si>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</si>
  <si>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</si>
  <si>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</si>
  <si>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</si>
  <si>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</si>
  <si>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</si>
  <si>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</si>
  <si>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</si>
  <si>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</si>
  <si>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</si>
  <si>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</si>
  <si>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</si>
  <si>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</si>
  <si>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</si>
  <si>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Brackeys Tutorial</t>
  </si>
  <si>
    <t xml:space="preserve">Starting from scratch
- animatable body2d (for moving objects you want to collide with, e.g. platform)
- enabled one-way collision in transport so player can jump from below
- animated spite2d (for player character)
-collision shape 2d (for player collision)
</t>
  </si>
  <si>
    <t>Refactoring system complete. Bug fixes for weapons.
Annoying 'indent' issue, hoping just needed a close and restart, will test tomorrow.</t>
  </si>
  <si>
    <t>Cleaning up refactored system.
- Added null refernces to behaviour manager
- Addressing missed signal connections
- Addressing timer managerment problems
- Physics and movement issues</t>
  </si>
  <si>
    <t>Fixing bugs with all weapons. Not very happy with how much weapons have all changed, but hopefully continual bug fixing will end up with a more resiliant system once 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</si>
</sst>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h]:mm"/>
  </numFmts>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165" fontId="0" fillId="0" borderId="0" xfId="0" applyNumberFormat="1"/>
  </cellXfs>
  <cellStyles count="1">
    <cellStyle name="Normal" xfId="0" builtinId="0"/>
  </cellStyles>
  <dxfs count="6">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B6:G15" totalsRowShown="0">
  <autoFilter ref="B6:G15" xr:uid="{B1FBB0C8-47CA-4FE8-A951-187DAAFDBA3A}"/>
  <tableColumns count="6">
    <tableColumn id="1" xr3:uid="{9EDA08BC-FC93-4374-BA7A-6AB42BF27608}" name="Date"/>
    <tableColumn id="2" xr3:uid="{E52E82DE-B123-4B3E-8A7E-4FB2C6CEEE64}" name="Start" dataDxfId="5"/>
    <tableColumn id="3" xr3:uid="{385CF12C-F475-4237-A1B1-BA2B136D502D}" name="Finish"/>
    <tableColumn id="4" xr3:uid="{A53CF1BF-F8B6-4BD3-8E81-2C1B7E645EAD}" name="Task"/>
    <tableColumn id="5" xr3:uid="{82A06DB5-D5A5-417C-9A3D-8CC5431A3DD7}" name="Details" dataDxfId="4"/>
    <tableColumn id="6" xr3:uid="{6B5828D5-4B73-426F-9AEB-9B2280524C8F}" name="Time" dataDxfId="3">
      <calculatedColumnFormula>IF(D7&lt;C7, D7+1, D7) - C7</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I15"/>
  <sheetViews>
    <sheetView tabSelected="1" workbookViewId="0">
      <selection activeCell="K12" sqref="K12"/>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0</v>
      </c>
      <c r="F1" s="5"/>
    </row>
    <row r="2" spans="1:9" s="4" customFormat="1" ht="26.25" x14ac:dyDescent="0.4">
      <c r="A2" s="6" t="s">
        <v>8</v>
      </c>
      <c r="F2" s="5"/>
    </row>
    <row r="4" spans="1:9" x14ac:dyDescent="0.25">
      <c r="C4" t="s">
        <v>11</v>
      </c>
      <c r="D4" s="7">
        <f>SUM(G7:G37)</f>
        <v>1.0319444444444446</v>
      </c>
      <c r="I4" s="2"/>
    </row>
    <row r="5" spans="1:9" x14ac:dyDescent="0.25">
      <c r="I5" s="2"/>
    </row>
    <row r="6" spans="1:9" x14ac:dyDescent="0.25">
      <c r="B6" t="s">
        <v>6</v>
      </c>
      <c r="C6" t="s">
        <v>3</v>
      </c>
      <c r="D6" t="s">
        <v>4</v>
      </c>
      <c r="E6" t="s">
        <v>5</v>
      </c>
      <c r="F6" s="3" t="s">
        <v>7</v>
      </c>
      <c r="G6" t="s">
        <v>12</v>
      </c>
      <c r="I6" s="2"/>
    </row>
    <row r="7" spans="1:9" ht="30" x14ac:dyDescent="0.25">
      <c r="B7" s="1">
        <v>45738</v>
      </c>
      <c r="C7" s="2">
        <v>0.625</v>
      </c>
      <c r="D7" s="2">
        <v>0.77430555555555558</v>
      </c>
      <c r="E7" t="s">
        <v>1</v>
      </c>
      <c r="F7" s="3" t="s">
        <v>2</v>
      </c>
      <c r="G7" s="2">
        <f t="shared" ref="G7:G11" si="0">IF(D7&lt;C7, D7+1, D7) - C7</f>
        <v>0.14930555555555558</v>
      </c>
      <c r="I7" s="2"/>
    </row>
    <row r="8" spans="1:9" x14ac:dyDescent="0.25">
      <c r="C8" s="2">
        <v>0.87013888888888891</v>
      </c>
      <c r="D8" s="2">
        <v>4.1666666666666664E-2</v>
      </c>
      <c r="G8" s="2">
        <f t="shared" si="0"/>
        <v>0.17152777777777783</v>
      </c>
      <c r="I8" s="2"/>
    </row>
    <row r="9" spans="1:9" ht="30" x14ac:dyDescent="0.25">
      <c r="B9" s="1">
        <v>45739</v>
      </c>
      <c r="C9" s="2">
        <v>0.5</v>
      </c>
      <c r="D9" s="2">
        <v>0.5625</v>
      </c>
      <c r="E9" t="s">
        <v>1</v>
      </c>
      <c r="F9" s="3" t="s">
        <v>9</v>
      </c>
      <c r="G9" s="2">
        <f t="shared" si="0"/>
        <v>6.25E-2</v>
      </c>
      <c r="I9" s="2"/>
    </row>
    <row r="10" spans="1:9" ht="105" x14ac:dyDescent="0.25">
      <c r="C10" s="2">
        <v>0.79166666666666663</v>
      </c>
      <c r="D10" s="2">
        <v>0.88472222222222219</v>
      </c>
      <c r="E10" t="s">
        <v>1</v>
      </c>
      <c r="F10" s="3" t="s">
        <v>10</v>
      </c>
      <c r="G10" s="2">
        <f t="shared" si="0"/>
        <v>9.3055555555555558E-2</v>
      </c>
      <c r="I10" s="2"/>
    </row>
    <row r="11" spans="1:9" ht="45" x14ac:dyDescent="0.25">
      <c r="C11" s="2">
        <v>0.97430555555555554</v>
      </c>
      <c r="D11" s="2">
        <v>7.1527777777777773E-2</v>
      </c>
      <c r="E11" t="s">
        <v>1</v>
      </c>
      <c r="F11" s="3" t="s">
        <v>13</v>
      </c>
      <c r="G11" s="2">
        <f t="shared" si="0"/>
        <v>9.7222222222222321E-2</v>
      </c>
    </row>
    <row r="12" spans="1:9" ht="30" x14ac:dyDescent="0.25">
      <c r="B12" s="1">
        <v>45740</v>
      </c>
      <c r="C12" s="2">
        <v>0.54166666666666663</v>
      </c>
      <c r="D12" s="2">
        <v>0.6875</v>
      </c>
      <c r="E12" t="s">
        <v>1</v>
      </c>
      <c r="F12" s="3" t="s">
        <v>16</v>
      </c>
      <c r="G12" s="2">
        <f>IF(D12&lt;C12, D12+1, D12) - C12</f>
        <v>0.14583333333333337</v>
      </c>
    </row>
    <row r="13" spans="1:9" ht="60" x14ac:dyDescent="0.25">
      <c r="C13" s="2">
        <v>0.98611111111111116</v>
      </c>
      <c r="D13" s="2">
        <v>6.25E-2</v>
      </c>
      <c r="E13" t="s">
        <v>1</v>
      </c>
      <c r="F13" s="3" t="s">
        <v>19</v>
      </c>
      <c r="G13" s="2">
        <f>IF(D13&lt;C13, D13+1, D13) - C13</f>
        <v>7.638888888888884E-2</v>
      </c>
    </row>
    <row r="14" spans="1:9" ht="75" x14ac:dyDescent="0.25">
      <c r="B14" s="1">
        <v>45741</v>
      </c>
      <c r="C14" s="2">
        <v>0.63888888888888884</v>
      </c>
      <c r="D14" s="2">
        <v>0.79166666666666663</v>
      </c>
      <c r="E14" t="s">
        <v>1</v>
      </c>
      <c r="F14" s="3" t="s">
        <v>20</v>
      </c>
      <c r="G14" s="2">
        <f>IF(D14&lt;C14, D14+1, D14) - C14</f>
        <v>0.15277777777777779</v>
      </c>
    </row>
    <row r="15" spans="1:9" ht="60" x14ac:dyDescent="0.25">
      <c r="C15" s="2">
        <v>0.83333333333333337</v>
      </c>
      <c r="D15" s="2">
        <v>0.91666666666666663</v>
      </c>
      <c r="E15" t="s">
        <v>1</v>
      </c>
      <c r="F15" s="3" t="s">
        <v>21</v>
      </c>
      <c r="G15" s="2">
        <f>IF(D15&lt;C15, D15+1, D15) - C15</f>
        <v>8.3333333333333259E-2</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B8" sqref="B8"/>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2.083333333333337E-2</v>
      </c>
      <c r="H4" s="2"/>
    </row>
    <row r="5" spans="1:8" x14ac:dyDescent="0.25">
      <c r="H5" s="2"/>
    </row>
    <row r="6" spans="1:8" x14ac:dyDescent="0.25">
      <c r="A6" t="s">
        <v>6</v>
      </c>
      <c r="B6" t="s">
        <v>3</v>
      </c>
      <c r="C6" t="s">
        <v>4</v>
      </c>
      <c r="D6" t="s">
        <v>5</v>
      </c>
      <c r="E6" s="3" t="s">
        <v>7</v>
      </c>
      <c r="F6" t="s">
        <v>12</v>
      </c>
      <c r="H6" s="2"/>
    </row>
    <row r="7" spans="1:8" ht="120" x14ac:dyDescent="0.25">
      <c r="A7" s="1">
        <v>45740</v>
      </c>
      <c r="B7" s="2">
        <v>0.91666666666666663</v>
      </c>
      <c r="C7" s="2">
        <v>0.9375</v>
      </c>
      <c r="D7" s="3" t="s">
        <v>17</v>
      </c>
      <c r="E7" s="3" t="s">
        <v>18</v>
      </c>
      <c r="F7" s="2">
        <f t="shared" ref="F7:F11" si="0">IF(C7&lt;B7, C7+1, C7) - B7</f>
        <v>2.083333333333337E-2</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Smash Dungeon</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2025-03-26T04:10:42Z</dcterms:modified>
</cp:coreProperties>
</file>