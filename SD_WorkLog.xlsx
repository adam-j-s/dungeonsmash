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3307E71F-D078-4D41-969B-4E6DCFD5434D}"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Name Ideas" sheetId="4" r:id="rId2"/>
    <sheet name="Card Combiner" sheetId="3" r:id="rId3"/>
    <sheet name="Godot Learning"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5" i="1" l="1"/>
  <c r="D4" i="1" s="1"/>
  <c r="G54" i="1"/>
  <c r="G53" i="1"/>
  <c r="G52" i="1"/>
  <c r="G51" i="1"/>
  <c r="G50" i="1"/>
  <c r="G49" i="1"/>
  <c r="G48" i="1"/>
  <c r="G47" i="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C4" i="2" l="1"/>
</calcChain>
</file>

<file path=xl/sharedStrings.xml><?xml version="1.0" encoding="utf-8"?>
<sst xmlns="http://schemas.openxmlformats.org/spreadsheetml/2006/main" count="127" uniqueCount="73">
  <si>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</si>
  <si>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</si>
  <si>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</si>
  <si>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</si>
  <si>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</si>
  <si>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</si>
  <si>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</si>
  <si>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</si>
  <si>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</si>
  <si>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</si>
  <si>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</si>
  <si>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</si>
  <si>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</si>
  <si>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</si>
  <si>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</si>
  <si>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</si>
  <si>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</si>
  <si>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</si>
  <si>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</si>
  <si>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</si>
  <si>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</si>
  <si>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</si>
  <si>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</si>
  <si>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</si>
  <si>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</si>
  <si>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</si>
  <si>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</si>
  <si>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</si>
  <si>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</si>
  <si>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</si>
  <si>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</si>
  <si>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</si>
  <si>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</si>
  <si>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</si>
  <si>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</si>
  <si>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</si>
  <si>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</si>
  <si>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</si>
  <si>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</si>
  <si>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</si>
  <si>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</si>
  <si>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</si>
  <si>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</si>
  <si>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</si>
  <si>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</si>
  <si>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</si>
  <si>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</si>
  <si>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</si>
  <si>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</si>
  <si>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</si>
  <si>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</si>
  <si>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</si>
  <si>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</si>
  <si>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</si>
  <si>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</si>
  <si>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</si>
  <si>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</si>
  <si>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</si>
  <si>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</si>
  <si>
    <t>Starting to think about creating new levels</t>
  </si>
  <si>
    <t>Implementing arena system
- fixed connection between existing scenes to load arenas</t>
  </si>
  <si>
    <t>Created new arena editor system:
Successfully debugged and fixed the ArenaDatabase singleton loading issue (identified the has_singleton timing quirk and implemented the direct access workaround).
Correctly integrated the GameManager, ArenaDatabase, and battle_arena scene flow for loading specific arena data.
Set up and used the arena_capture_tool to save layout data, including dynamic spawn points via Marker2Ds.
Successfully loaded and tested a second, different arena layout, proving the system's flexibility.
Defined a solid schema for placeholder TileSet properties to enable rapid functional level design.
Clarified how to handle backgrounds, parallax, decorations, and UI within this system.
Discussed potential future AI approaches</t>
  </si>
  <si>
    <t>Added Twin-Stick control system 
- Added bug, player character attacks in wrong direction</t>
  </si>
  <si>
    <t>Marketing</t>
  </si>
  <si>
    <t>Brainstorming names, etc</t>
  </si>
  <si>
    <t>Name Ideas</t>
  </si>
  <si>
    <t>Descendrum</t>
  </si>
  <si>
    <t>Fixing wrong direction
- attack styles were reversing direction being given by player and weapon base</t>
  </si>
  <si>
    <t>Control</t>
  </si>
  <si>
    <t>Bug Fix</t>
  </si>
  <si>
    <t>Creating Arena Select Screen</t>
  </si>
  <si>
    <t>Arena System</t>
  </si>
  <si>
    <t>Melee attack style crashing (something to do with attack_direction and timer? Need to check against other scripts and whole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</si>
</sst>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ill="1" applyBorder="1" applyAlignment="1">
      <alignment wrapText="1"/>
    </xf>
    <xf numFmtId="0" fontId="0" fillId="0" borderId="1" xfId="0"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55" totalsRowShown="0">
  <autoFilter ref="B6:G55"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60"/>
  <sheetViews>
    <sheetView tabSelected="1" topLeftCell="A50" workbookViewId="0">
      <selection activeCell="F56" sqref="F56"/>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SUM(G7:G55)</f>
        <v>5.1888888888888891</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E40" t="s">
        <v>45</v>
      </c>
      <c r="F40" s="3" t="s">
        <v>52</v>
      </c>
      <c r="G40" s="2">
        <f>IF(D40&lt;C40, D40+1, D40) - C40</f>
        <v>4.166666666666663E-2</v>
      </c>
    </row>
    <row r="41" spans="2:7" x14ac:dyDescent="0.25">
      <c r="B41" s="1">
        <v>45756</v>
      </c>
      <c r="C41" s="2">
        <v>0.65972222222222221</v>
      </c>
      <c r="D41" s="2">
        <v>0.75</v>
      </c>
      <c r="E41" t="s">
        <v>45</v>
      </c>
      <c r="F41" s="3" t="s">
        <v>53</v>
      </c>
      <c r="G41" s="2">
        <f>IF(D41&lt;C41, D41+1, D41) - C41</f>
        <v>9.027777777777779E-2</v>
      </c>
    </row>
    <row r="42" spans="2:7" x14ac:dyDescent="0.25">
      <c r="B42" s="1"/>
      <c r="C42" s="2">
        <v>0.84513888888888888</v>
      </c>
      <c r="D42" s="2">
        <v>0.9375</v>
      </c>
      <c r="E42" t="s">
        <v>45</v>
      </c>
      <c r="F42" s="3" t="s">
        <v>54</v>
      </c>
      <c r="G42" s="2">
        <f>IF(D42&lt;C42, D42+1, D42) - C42</f>
        <v>9.2361111111111116E-2</v>
      </c>
    </row>
    <row r="43" spans="2:7" x14ac:dyDescent="0.25">
      <c r="B43" s="1">
        <v>45757</v>
      </c>
      <c r="C43" s="2">
        <v>0.68055555555555558</v>
      </c>
      <c r="D43" s="2"/>
      <c r="E43" t="s">
        <v>45</v>
      </c>
      <c r="F43" s="3" t="s">
        <v>55</v>
      </c>
      <c r="G43" s="2">
        <f>IF(D43&lt;C43, D43+1, D43) - C43</f>
        <v>0.31944444444444442</v>
      </c>
    </row>
    <row r="44" spans="2:7" x14ac:dyDescent="0.25">
      <c r="B44" s="1">
        <v>45758</v>
      </c>
      <c r="C44" s="2">
        <v>0.5</v>
      </c>
      <c r="D44" s="2">
        <v>0.65972222222222221</v>
      </c>
      <c r="E44" t="s">
        <v>45</v>
      </c>
      <c r="F44" s="3" t="s">
        <v>56</v>
      </c>
      <c r="G44" s="2">
        <f>IF(D44&lt;C44, D44+1, D44) - C44</f>
        <v>0.15972222222222221</v>
      </c>
    </row>
    <row r="45" spans="2:7" x14ac:dyDescent="0.25">
      <c r="C45" s="2">
        <v>0.66666666666666663</v>
      </c>
      <c r="D45" s="2">
        <v>0.70833333333333337</v>
      </c>
      <c r="E45" t="s">
        <v>45</v>
      </c>
      <c r="F45" s="3" t="s">
        <v>57</v>
      </c>
      <c r="G45" s="2">
        <f t="shared" ref="G45:G46" si="5">IF(D45&lt;C45, D45+1, D45) - C45</f>
        <v>4.1666666666666741E-2</v>
      </c>
    </row>
    <row r="46" spans="2:7" x14ac:dyDescent="0.25">
      <c r="C46" s="2">
        <v>0.70833333333333337</v>
      </c>
      <c r="D46" s="2">
        <v>0.75</v>
      </c>
      <c r="E46" t="s">
        <v>45</v>
      </c>
      <c r="F46" s="3" t="s">
        <v>58</v>
      </c>
      <c r="G46" s="2">
        <f t="shared" si="5"/>
        <v>4.166666666666663E-2</v>
      </c>
    </row>
    <row r="47" spans="2:7" x14ac:dyDescent="0.25">
      <c r="C47" s="2">
        <v>0.75</v>
      </c>
      <c r="D47" s="2">
        <v>0.8125</v>
      </c>
      <c r="E47" t="s">
        <v>71</v>
      </c>
      <c r="F47" s="3" t="s">
        <v>59</v>
      </c>
      <c r="G47" s="2">
        <f t="shared" ref="G47:G55" si="6">IF(D47&lt;C47, D47+1, D47) - C47</f>
        <v>6.25E-2</v>
      </c>
    </row>
    <row r="48" spans="2:7" x14ac:dyDescent="0.25">
      <c r="C48" s="2">
        <v>0.96875</v>
      </c>
      <c r="D48" s="2"/>
      <c r="E48" t="s">
        <v>71</v>
      </c>
      <c r="G48" s="2">
        <f t="shared" si="6"/>
        <v>3.125E-2</v>
      </c>
    </row>
    <row r="49" spans="2:7" ht="45" x14ac:dyDescent="0.25">
      <c r="B49" s="1">
        <v>45759</v>
      </c>
      <c r="C49" s="2">
        <v>0.59097222222222223</v>
      </c>
      <c r="D49" s="2">
        <v>0.71666666666666667</v>
      </c>
      <c r="E49" t="s">
        <v>71</v>
      </c>
      <c r="F49" s="3" t="s">
        <v>60</v>
      </c>
      <c r="G49" s="2">
        <f t="shared" si="6"/>
        <v>0.12569444444444444</v>
      </c>
    </row>
    <row r="50" spans="2:7" ht="372" customHeight="1" x14ac:dyDescent="0.25">
      <c r="C50" s="2">
        <v>0.8</v>
      </c>
      <c r="D50" s="2">
        <v>9.5138888888888884E-2</v>
      </c>
      <c r="E50" t="s">
        <v>71</v>
      </c>
      <c r="F50" s="3" t="s">
        <v>61</v>
      </c>
      <c r="G50" s="2">
        <f t="shared" si="6"/>
        <v>0.29513888888888884</v>
      </c>
    </row>
    <row r="51" spans="2:7" ht="45" x14ac:dyDescent="0.25">
      <c r="B51" s="1">
        <v>45760</v>
      </c>
      <c r="C51" s="2">
        <v>0.55833333333333335</v>
      </c>
      <c r="D51" s="2">
        <v>0.77083333333333337</v>
      </c>
      <c r="E51" t="s">
        <v>68</v>
      </c>
      <c r="F51" s="3" t="s">
        <v>62</v>
      </c>
      <c r="G51" s="2">
        <f t="shared" si="6"/>
        <v>0.21250000000000002</v>
      </c>
    </row>
    <row r="52" spans="2:7" x14ac:dyDescent="0.25">
      <c r="C52" s="2">
        <v>0.7993055555555556</v>
      </c>
      <c r="D52" s="2">
        <v>0.85416666666666663</v>
      </c>
      <c r="E52" t="s">
        <v>63</v>
      </c>
      <c r="F52" s="3" t="s">
        <v>64</v>
      </c>
      <c r="G52" s="2">
        <f t="shared" si="6"/>
        <v>5.4861111111111027E-2</v>
      </c>
    </row>
    <row r="53" spans="2:7" ht="45" x14ac:dyDescent="0.25">
      <c r="C53" s="2">
        <v>0.84375</v>
      </c>
      <c r="D53" s="2">
        <v>0.875</v>
      </c>
      <c r="E53" t="s">
        <v>69</v>
      </c>
      <c r="F53" s="3" t="s">
        <v>67</v>
      </c>
      <c r="G53" s="2">
        <f t="shared" si="6"/>
        <v>3.125E-2</v>
      </c>
    </row>
    <row r="54" spans="2:7" x14ac:dyDescent="0.25">
      <c r="C54" s="2">
        <v>0.875</v>
      </c>
      <c r="D54" s="2">
        <v>0.92361111111111116</v>
      </c>
      <c r="E54" t="s">
        <v>71</v>
      </c>
      <c r="F54" s="3" t="s">
        <v>70</v>
      </c>
      <c r="G54" s="2">
        <f t="shared" si="6"/>
        <v>4.861111111111116E-2</v>
      </c>
    </row>
    <row r="55" spans="2:7" ht="45" x14ac:dyDescent="0.25">
      <c r="C55" s="2">
        <v>0.95972222222222225</v>
      </c>
      <c r="D55" s="2">
        <v>1.8749999999999999E-2</v>
      </c>
      <c r="E55" t="s">
        <v>69</v>
      </c>
      <c r="F55" s="3" t="s">
        <v>72</v>
      </c>
      <c r="G55" s="2">
        <f t="shared" si="6"/>
        <v>5.902777777777779E-2</v>
      </c>
    </row>
    <row r="56" spans="2:7" x14ac:dyDescent="0.25">
      <c r="C56" s="2"/>
      <c r="D56" s="2"/>
      <c r="G56" s="2"/>
    </row>
    <row r="57" spans="2:7" x14ac:dyDescent="0.25">
      <c r="C57" s="2"/>
      <c r="D57" s="2"/>
      <c r="G57" s="2"/>
    </row>
    <row r="58" spans="2:7" x14ac:dyDescent="0.25">
      <c r="C58" s="2"/>
      <c r="D58" s="2"/>
      <c r="G58" s="2"/>
    </row>
    <row r="59" spans="2:7" x14ac:dyDescent="0.25">
      <c r="F59" s="8" t="s">
        <v>43</v>
      </c>
    </row>
    <row r="60" spans="2:7" x14ac:dyDescent="0.25">
      <c r="F60" s="9" t="s">
        <v>42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C026B-8D30-4100-A805-D11CB8F29CB9}">
  <dimension ref="A1:A2"/>
  <sheetViews>
    <sheetView workbookViewId="0">
      <selection activeCell="A3" sqref="A3"/>
    </sheetView>
  </sheetViews>
  <sheetFormatPr defaultRowHeight="15" x14ac:dyDescent="0.25"/>
  <sheetData>
    <row r="1" spans="1:1" x14ac:dyDescent="0.25">
      <c r="A1" t="s">
        <v>65</v>
      </c>
    </row>
    <row r="2" spans="1:1" x14ac:dyDescent="0.25">
      <c r="A2" t="s">
        <v>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Smash Dungeon</vt:lpstr>
      <vt:lpstr>Name Ideas</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2025-04-14T05:31:21Z</dcterms:modified>
</cp:coreProperties>
</file>