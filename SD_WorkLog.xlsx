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A946C1B4-0E02-47D3-AAA8-1025F4091EA6}" xr6:coauthVersionLast="47" xr6:coauthVersionMax="47" xr10:uidLastSave="{00000000-0000-0000-0000-000000000000}"/>
  <bookViews>
    <workbookView xWindow="1170" yWindow="1170" windowWidth="21600" windowHeight="11235" xr2:uid="{F19D98A7-6420-4EF7-85AF-F6CF1D239D63}"/>
  </bookViews>
  <sheets>
    <sheet name="Smash Dungeon" sheetId="1" r:id="rId1"/>
    <sheet name="Name Ideas" sheetId="4" r:id="rId2"/>
    <sheet name="Card Combiner" sheetId="3" r:id="rId3"/>
    <sheet name="Godot Learning"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0" i="1" l="1"/>
  <c r="D4" i="1" s="1"/>
  <c r="G59" i="1"/>
  <c r="G58" i="1"/>
  <c r="G57" i="1"/>
  <c r="G56" i="1"/>
  <c r="G55" i="1"/>
  <c r="G54" i="1"/>
  <c r="G53" i="1"/>
  <c r="G52" i="1"/>
  <c r="G51" i="1"/>
  <c r="G50" i="1"/>
  <c r="G49" i="1"/>
  <c r="G48" i="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C4" i="2" l="1"/>
</calcChain>
</file>

<file path=xl/sharedStrings.xml><?xml version="1.0" encoding="utf-8"?>
<sst xmlns="http://schemas.openxmlformats.org/spreadsheetml/2006/main" count="135" uniqueCount="78">
  <si>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</si>
  <si>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</si>
  <si>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</si>
  <si>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</si>
  <si>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</si>
  <si>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</si>
  <si>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</si>
  <si>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</si>
  <si>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</si>
  <si>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</si>
  <si>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</si>
  <si>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</si>
  <si>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</si>
  <si>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</si>
  <si>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</si>
  <si>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</si>
  <si>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</si>
  <si>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</si>
  <si>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</si>
  <si>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</si>
  <si>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</si>
  <si>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</si>
  <si>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</si>
  <si>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</si>
  <si>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</si>
  <si>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</si>
  <si>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</si>
  <si>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</si>
  <si>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</si>
  <si>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</si>
  <si>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</si>
  <si>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</si>
  <si>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</si>
  <si>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</si>
  <si>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</si>
  <si>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</si>
  <si>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</si>
  <si>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</si>
  <si>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</si>
  <si>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</si>
  <si>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</si>
  <si>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</si>
  <si>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</si>
  <si>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</si>
  <si>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</si>
  <si>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</si>
  <si>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</si>
  <si>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</si>
  <si>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</si>
  <si>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</si>
  <si>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</si>
  <si>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</si>
  <si>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</si>
  <si>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</si>
  <si>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</si>
  <si>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</si>
  <si>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</si>
  <si>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</si>
  <si>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</si>
  <si>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Starting to think about creating new levels</t>
  </si>
  <si>
    <t>Implementing arena system
- fixed connection between existing scenes to load arenas</t>
  </si>
  <si>
    <t>Created new arena editor system:
Successfully debugged and fixed the ArenaDatabase singleton loading issue (identified the has_singleton timing quirk and implemented the direct access workaround).
Correctly integrated the GameManager, ArenaDatabase, and battle_arena scene flow for loading specific arena data.
Set up and used the arena_capture_tool to save layout data, including dynamic spawn points via Marker2Ds.
Successfully loaded and tested a second, different arena layout, proving the system's flexibility.
Defined a solid schema for placeholder TileSet properties to enable rapid functional level design.
Clarified how to handle backgrounds, parallax, decorations, and UI within this system.
Discussed potential future AI approaches</t>
  </si>
  <si>
    <t>Added Twin-Stick control system 
- Added bug, player character attacks in wrong direction</t>
  </si>
  <si>
    <t>Marketing</t>
  </si>
  <si>
    <t>Brainstorming names, etc</t>
  </si>
  <si>
    <t>Name Ideas</t>
  </si>
  <si>
    <t>Descendrum</t>
  </si>
  <si>
    <t>Fixing wrong direction
- attack styles were reversing direction being given by player and weapon base</t>
  </si>
  <si>
    <t>Control</t>
  </si>
  <si>
    <t>Bug Fix</t>
  </si>
  <si>
    <t>Creating Arena Select Screen</t>
  </si>
  <si>
    <t>Arena System</t>
  </si>
  <si>
    <t>Melee attack style crashing (something to do with attack_direction and timer? Need to check against other scripts and whole system</t>
  </si>
  <si>
    <t>Rewrote attack style base and attack styles to centralize player direction, and included collision utils into attack styles</t>
  </si>
  <si>
    <t>Enemy System</t>
  </si>
  <si>
    <t>Created new Enemy System:
- Enemy Manager
- Enemy config
- Basic Enemy
- Slime (attempt to create procedural slime enemy)
- Slime spit</t>
  </si>
  <si>
    <t>Added slithering limb</t>
  </si>
  <si>
    <t>Added more basic enemies:
- bouncer
- jumper
- turret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</si>
</sst>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60" totalsRowShown="0">
  <autoFilter ref="B6:G60"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74"/>
  <sheetViews>
    <sheetView tabSelected="1" topLeftCell="A55" workbookViewId="0">
      <selection activeCell="F61" sqref="F61"/>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SUM(G7:G60)</f>
        <v>6.1958333333333337</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D47" s="2">
        <v>0.8125</v>
      </c>
      <c r="E47" t="s">
        <v>71</v>
      </c>
      <c r="F47" s="3" t="s">
        <v>59</v>
      </c>
      <c r="G47" s="2">
        <f t="shared" ref="G47:G55" si="6">IF(D47&lt;C47, D47+1, D47) - C47</f>
        <v>6.25E-2</v>
      </c>
    </row>
    <row r="48" spans="2:7" x14ac:dyDescent="0.25">
      <c r="C48" s="2">
        <v>0.96875</v>
      </c>
      <c r="D48" s="2"/>
      <c r="E48" t="s">
        <v>71</v>
      </c>
      <c r="G48" s="2">
        <f t="shared" si="6"/>
        <v>3.125E-2</v>
      </c>
    </row>
    <row r="49" spans="2:7" ht="45" x14ac:dyDescent="0.25">
      <c r="B49" s="1">
        <v>45759</v>
      </c>
      <c r="C49" s="2">
        <v>0.59097222222222223</v>
      </c>
      <c r="D49" s="2">
        <v>0.71666666666666667</v>
      </c>
      <c r="E49" t="s">
        <v>71</v>
      </c>
      <c r="F49" s="3" t="s">
        <v>60</v>
      </c>
      <c r="G49" s="2">
        <f t="shared" si="6"/>
        <v>0.12569444444444444</v>
      </c>
    </row>
    <row r="50" spans="2:7" ht="372" customHeight="1" x14ac:dyDescent="0.25">
      <c r="C50" s="2">
        <v>0.8</v>
      </c>
      <c r="D50" s="2">
        <v>9.5138888888888884E-2</v>
      </c>
      <c r="E50" t="s">
        <v>71</v>
      </c>
      <c r="F50" s="3" t="s">
        <v>61</v>
      </c>
      <c r="G50" s="2">
        <f t="shared" si="6"/>
        <v>0.29513888888888884</v>
      </c>
    </row>
    <row r="51" spans="2:7" ht="45" x14ac:dyDescent="0.25">
      <c r="B51" s="1">
        <v>45760</v>
      </c>
      <c r="C51" s="2">
        <v>0.55833333333333335</v>
      </c>
      <c r="D51" s="2">
        <v>0.77083333333333337</v>
      </c>
      <c r="E51" t="s">
        <v>68</v>
      </c>
      <c r="F51" s="3" t="s">
        <v>62</v>
      </c>
      <c r="G51" s="2">
        <f t="shared" si="6"/>
        <v>0.21250000000000002</v>
      </c>
    </row>
    <row r="52" spans="2:7" x14ac:dyDescent="0.25">
      <c r="C52" s="2">
        <v>0.7993055555555556</v>
      </c>
      <c r="D52" s="2">
        <v>0.85416666666666663</v>
      </c>
      <c r="E52" t="s">
        <v>63</v>
      </c>
      <c r="F52" s="3" t="s">
        <v>64</v>
      </c>
      <c r="G52" s="2">
        <f t="shared" si="6"/>
        <v>5.4861111111111027E-2</v>
      </c>
    </row>
    <row r="53" spans="2:7" ht="45" x14ac:dyDescent="0.25">
      <c r="C53" s="2">
        <v>0.84375</v>
      </c>
      <c r="D53" s="2">
        <v>0.875</v>
      </c>
      <c r="E53" t="s">
        <v>69</v>
      </c>
      <c r="F53" s="3" t="s">
        <v>67</v>
      </c>
      <c r="G53" s="2">
        <f t="shared" si="6"/>
        <v>3.125E-2</v>
      </c>
    </row>
    <row r="54" spans="2:7" x14ac:dyDescent="0.25">
      <c r="C54" s="2">
        <v>0.875</v>
      </c>
      <c r="D54" s="2">
        <v>0.92361111111111116</v>
      </c>
      <c r="E54" t="s">
        <v>71</v>
      </c>
      <c r="F54" s="3" t="s">
        <v>70</v>
      </c>
      <c r="G54" s="2">
        <f t="shared" si="6"/>
        <v>4.861111111111116E-2</v>
      </c>
    </row>
    <row r="55" spans="2:7" ht="45" x14ac:dyDescent="0.25">
      <c r="C55" s="2">
        <v>0.95972222222222225</v>
      </c>
      <c r="D55" s="2">
        <v>1.8749999999999999E-2</v>
      </c>
      <c r="E55" t="s">
        <v>69</v>
      </c>
      <c r="F55" s="3" t="s">
        <v>72</v>
      </c>
      <c r="G55" s="2">
        <f t="shared" si="6"/>
        <v>5.902777777777779E-2</v>
      </c>
    </row>
    <row r="56" spans="2:7" ht="45" x14ac:dyDescent="0.25">
      <c r="B56" s="1">
        <v>45761</v>
      </c>
      <c r="C56" s="2">
        <v>0.57638888888888884</v>
      </c>
      <c r="D56" s="2">
        <v>0.61736111111111114</v>
      </c>
      <c r="E56" t="s">
        <v>69</v>
      </c>
      <c r="F56" s="3" t="s">
        <v>73</v>
      </c>
      <c r="G56" s="2">
        <f>IF(D56&lt;C56, D56+1, D56) - C56</f>
        <v>4.0972222222222299E-2</v>
      </c>
    </row>
    <row r="57" spans="2:7" ht="90" x14ac:dyDescent="0.25">
      <c r="B57" s="1"/>
      <c r="C57" s="2">
        <v>0.69513888888888886</v>
      </c>
      <c r="D57" s="2">
        <v>0.92638888888888893</v>
      </c>
      <c r="E57" t="s">
        <v>74</v>
      </c>
      <c r="F57" s="3" t="s">
        <v>75</v>
      </c>
      <c r="G57" s="2">
        <f>IF(D57&lt;C57, D57+1, D57) - C57</f>
        <v>0.23125000000000007</v>
      </c>
    </row>
    <row r="58" spans="2:7" x14ac:dyDescent="0.25">
      <c r="B58" s="1">
        <v>45762</v>
      </c>
      <c r="C58" s="2">
        <v>1.0416666666666666E-2</v>
      </c>
      <c r="D58" s="2">
        <v>5.7638888888888892E-2</v>
      </c>
      <c r="E58" t="s">
        <v>74</v>
      </c>
      <c r="G58" s="2">
        <f>IF(D58&lt;C58, D58+1, D58) - C58</f>
        <v>4.7222222222222228E-2</v>
      </c>
    </row>
    <row r="59" spans="2:7" x14ac:dyDescent="0.25">
      <c r="B59" s="1"/>
      <c r="C59" s="2">
        <v>0.6875</v>
      </c>
      <c r="D59" s="2">
        <v>0.8125</v>
      </c>
      <c r="E59" t="s">
        <v>74</v>
      </c>
      <c r="F59" s="3" t="s">
        <v>76</v>
      </c>
      <c r="G59" s="2">
        <f>IF(D59&lt;C59, D59+1, D59) - C59</f>
        <v>0.125</v>
      </c>
    </row>
    <row r="60" spans="2:7" ht="60" x14ac:dyDescent="0.25">
      <c r="B60" s="1"/>
      <c r="C60" s="2">
        <v>0.4375</v>
      </c>
      <c r="D60" s="2"/>
      <c r="F60" s="3" t="s">
        <v>77</v>
      </c>
      <c r="G60" s="2">
        <f>IF(D60&lt;C60, D60+1, D60) - C60</f>
        <v>0.5625</v>
      </c>
    </row>
    <row r="61" spans="2:7" x14ac:dyDescent="0.25">
      <c r="B61" s="1"/>
      <c r="C61" s="2"/>
      <c r="D61" s="2"/>
      <c r="G61" s="2"/>
    </row>
    <row r="62" spans="2:7" x14ac:dyDescent="0.25">
      <c r="B62" s="1"/>
      <c r="C62" s="2"/>
      <c r="D62" s="2"/>
      <c r="G62" s="2"/>
    </row>
    <row r="63" spans="2:7" x14ac:dyDescent="0.25">
      <c r="B63" s="1"/>
      <c r="C63" s="2"/>
      <c r="D63" s="2"/>
      <c r="G63" s="2"/>
    </row>
    <row r="64" spans="2:7" x14ac:dyDescent="0.25">
      <c r="B64" s="1"/>
      <c r="C64" s="2"/>
      <c r="D64" s="2"/>
      <c r="G64" s="2"/>
    </row>
    <row r="65" spans="2:7" x14ac:dyDescent="0.25">
      <c r="B65" s="1"/>
      <c r="C65" s="2"/>
      <c r="D65" s="2"/>
      <c r="G65" s="2"/>
    </row>
    <row r="66" spans="2:7" x14ac:dyDescent="0.25">
      <c r="B66" s="1"/>
      <c r="C66" s="2"/>
      <c r="D66" s="2"/>
      <c r="G66" s="2"/>
    </row>
    <row r="67" spans="2:7" x14ac:dyDescent="0.25">
      <c r="B67" s="1"/>
      <c r="C67" s="2"/>
      <c r="D67" s="2"/>
      <c r="G67" s="2"/>
    </row>
    <row r="68" spans="2:7" x14ac:dyDescent="0.25">
      <c r="B68" s="1"/>
      <c r="C68" s="2"/>
      <c r="D68" s="2"/>
      <c r="G68" s="2"/>
    </row>
    <row r="69" spans="2:7" x14ac:dyDescent="0.25">
      <c r="B69" s="1"/>
      <c r="C69" s="2"/>
      <c r="D69" s="2"/>
      <c r="G69" s="2"/>
    </row>
    <row r="70" spans="2:7" x14ac:dyDescent="0.25">
      <c r="B70" s="1"/>
      <c r="C70" s="2"/>
      <c r="D70" s="2"/>
      <c r="G70" s="2"/>
    </row>
    <row r="71" spans="2:7" x14ac:dyDescent="0.25">
      <c r="C71" s="2"/>
      <c r="D71" s="2"/>
      <c r="G71" s="2"/>
    </row>
    <row r="72" spans="2:7" x14ac:dyDescent="0.25">
      <c r="C72" s="2"/>
      <c r="D72" s="2"/>
      <c r="G72" s="2"/>
    </row>
    <row r="73" spans="2:7" x14ac:dyDescent="0.25">
      <c r="F73" s="8" t="s">
        <v>43</v>
      </c>
    </row>
    <row r="74" spans="2:7" x14ac:dyDescent="0.25">
      <c r="F74"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C026B-8D30-4100-A805-D11CB8F29CB9}">
  <dimension ref="A1:A2"/>
  <sheetViews>
    <sheetView workbookViewId="0">
      <selection activeCell="A3" sqref="A3"/>
    </sheetView>
  </sheetViews>
  <sheetFormatPr defaultRowHeight="15" x14ac:dyDescent="0.25"/>
  <sheetData>
    <row r="1" spans="1:1" x14ac:dyDescent="0.25">
      <c r="A1" t="s">
        <v>65</v>
      </c>
    </row>
    <row r="2" spans="1:1" x14ac:dyDescent="0.25">
      <c r="A2" t="s">
        <v>66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Smash Dungeon</vt:lpstr>
      <vt:lpstr>Name Ideas</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2025-04-16T04:33:08Z</dcterms:modified>
</cp:coreProperties>
</file>