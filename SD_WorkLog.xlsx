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damj\Documents\Game Development\Godot\Smash Dungeon\"/>
    </mc:Choice>
  </mc:AlternateContent>
  <xr:revisionPtr revIDLastSave="0" documentId="13_ncr:1_{2F1EFB10-DFDA-4B58-B3A6-99035AE40B27}" xr6:coauthVersionLast="47" xr6:coauthVersionMax="47" xr10:uidLastSave="{00000000-0000-0000-0000-000000000000}"/>
  <bookViews>
    <workbookView xWindow="3465" yWindow="3465" windowWidth="21600" windowHeight="11235" xr2:uid="{F19D98A7-6420-4EF7-85AF-F6CF1D239D63}"/>
  </bookViews>
  <sheets>
    <sheet name="Smash Dungeon" sheetId="1" r:id="rId1"/>
    <sheet name="Godot Learn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 r="G24" i="1"/>
  <c r="G23" i="1"/>
  <c r="G22" i="1"/>
  <c r="G21" i="1"/>
  <c r="G17" i="1"/>
  <c r="G18" i="1"/>
  <c r="G19" i="1"/>
  <c r="G20" i="1"/>
  <c r="G16" i="1"/>
  <c r="G15" i="1"/>
  <c r="G14" i="1"/>
  <c r="G13" i="1"/>
  <c r="G12" i="1"/>
  <c r="F11" i="2"/>
  <c r="F10" i="2"/>
  <c r="F9" i="2"/>
  <c r="F8" i="2"/>
  <c r="F7" i="2"/>
  <c r="G7" i="1"/>
  <c r="G8" i="1"/>
  <c r="G9" i="1"/>
  <c r="G10" i="1"/>
  <c r="G11" i="1"/>
  <c r="D4" i="1" l="1"/>
  <c r="C4" i="2"/>
</calcChain>
</file>

<file path=xl/sharedStrings.xml><?xml version="1.0" encoding="utf-8"?>
<sst xmlns="http://schemas.openxmlformats.org/spreadsheetml/2006/main" count="53" uniqueCount="30">
  <si>
    <t>Smash Dungeon</t>
  </si>
  <si>
    <t>Weapon behaviour</t>
  </si>
  <si>
    <t xml:space="preserve">Shifting to modular weapon behaviour, when refactoring, lost all functionality of weapons. </t>
  </si>
  <si>
    <t>Start</t>
  </si>
  <si>
    <t>Finish</t>
  </si>
  <si>
    <t>Task</t>
  </si>
  <si>
    <t>Date</t>
  </si>
  <si>
    <t>Details</t>
  </si>
  <si>
    <t>Dev Work Log</t>
  </si>
  <si>
    <t>Standardised new refactoring across all weapon behaviour. Many bugs, attempting to address bugs.</t>
  </si>
  <si>
    <t>Refactoring complete (still not as refactored as much as would like as projectile.gd still handles more than I would really like, but in interest of moving forward am making do with what we have for now). Now trouble fixing bugs in how projectiles are behaving. Fixed homing, fixed cluster bomb, currently fixing bounce orb (not bouncing)</t>
  </si>
  <si>
    <t>Total hours:</t>
  </si>
  <si>
    <t>Time</t>
  </si>
  <si>
    <t>Fixed bugs in all projectile weapons (apart from those which are down to preference and want to make better/different)</t>
  </si>
  <si>
    <t>Godot Learning</t>
  </si>
  <si>
    <t>Dev Practice Log</t>
  </si>
  <si>
    <t>Refactoring projectile system and improving behaviour system</t>
  </si>
  <si>
    <t>Brackeys Tutorial</t>
  </si>
  <si>
    <t xml:space="preserve">Starting from scratch
- animatable body2d (for moving objects you want to collide with, e.g. platform)
- enabled one-way collision in transport so player can jump from below
- animated spite2d (for player character)
-collision shape 2d (for player collision)
</t>
  </si>
  <si>
    <t>Refactoring system complete. Bug fixes for weapons.
Annoying 'indent' issue, hoping just needed a close and restart, will test tomorrow.</t>
  </si>
  <si>
    <t>Cleaning up refactored system.
- Added null refernces to behaviour manager
- Addressing missed signal connections
- Addressing timer managerment problems
- Physics and movement issues</t>
  </si>
  <si>
    <t>Fixing bugs with all weapons. Not very happy with how much weapons have all changed, but hopefully continual bug fixing will end up with a more resiliant system once done.</t>
  </si>
  <si>
    <t>Tidied up the following:
- Fixed Signal Safety Issues – Ensured all signals were properly connected and disconnected. 
- Fixed Behavior Application – Made sure behaviors were correctly applied to projectiles. 
- Implemented Safe Metadata Access – Added checks before accessing metadata.
- Added Null Reference Checks – Protected against null reference exceptions.</t>
  </si>
  <si>
    <t>Fixing singularity bomb</t>
  </si>
  <si>
    <t>Fixed singularity
Fixed bounce orb
Added wild bounce orb
Started working on cluster bomb</t>
  </si>
  <si>
    <t>Fixing cluster bomb</t>
  </si>
  <si>
    <t>Fixing cluster bomb
- created new cluster bomb behavior
- created new arc behavior
- created new explosion behavior
- created new multishot behavior</t>
  </si>
  <si>
    <t>Trying to fix behavior manager to parse new behaviors</t>
  </si>
  <si>
    <t>Tried using bezier behavior instead of arc for falling curve
- Created new BezierBehavior
- Updated multishot to try to give individual arcs
- Troubleshooting bezier behavior</t>
  </si>
  <si>
    <t>Fixed Cluster bomb/bezier behavior
- exploring how to adjust parameters in script
- question over how these changes to parameters could be utilised in weapon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</si>
</sst>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3" x14ac:knownFonts="1">
    <font>
      <sz val="11"/>
      <color theme="1"/>
      <name val="Aptos Narrow"/>
      <family val="2"/>
      <scheme val="minor"/>
    </font>
    <font>
      <sz val="20"/>
      <color theme="1"/>
      <name val="Aptos Narrow"/>
      <family val="2"/>
      <scheme val="minor"/>
    </font>
    <font>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0"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xf numFmtId="164" fontId="0" fillId="0" borderId="0" xfId="0" applyNumberFormat="1"/>
  </cellXfs>
  <cellStyles count="1">
    <cellStyle name="Normal" xfId="0" builtinId="0"/>
  </cellStyles>
  <dxfs count="6">
    <dxf>
      <numFmt numFmtId="25" formatCode="hh:mm"/>
    </dxf>
    <dxf>
      <alignment horizontal="general" vertical="bottom" textRotation="0" wrapText="1" indent="0" justifyLastLine="0" shrinkToFit="0" readingOrder="0"/>
    </dxf>
    <dxf>
      <numFmt numFmtId="25" formatCode="hh:mm"/>
    </dxf>
    <dxf>
      <numFmt numFmtId="25" formatCode="hh:mm"/>
    </dxf>
    <dxf>
      <alignment horizontal="general" vertical="bottom" textRotation="0" wrapText="1" indent="0" justifyLastLine="0" shrinkToFit="0" readingOrder="0"/>
    </dxf>
    <dxf>
      <numFmt numFmtId="25" formatCode="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FBB0C8-47CA-4FE8-A951-187DAAFDBA3A}" name="Table2" displayName="Table2" ref="B6:G25" totalsRowShown="0">
  <autoFilter ref="B6:G25" xr:uid="{B1FBB0C8-47CA-4FE8-A951-187DAAFDBA3A}"/>
  <tableColumns count="6">
    <tableColumn id="1" xr3:uid="{9EDA08BC-FC93-4374-BA7A-6AB42BF27608}" name="Date"/>
    <tableColumn id="2" xr3:uid="{E52E82DE-B123-4B3E-8A7E-4FB2C6CEEE64}" name="Start" dataDxfId="5"/>
    <tableColumn id="3" xr3:uid="{385CF12C-F475-4237-A1B1-BA2B136D502D}" name="Finish"/>
    <tableColumn id="4" xr3:uid="{A53CF1BF-F8B6-4BD3-8E81-2C1B7E645EAD}" name="Task"/>
    <tableColumn id="5" xr3:uid="{82A06DB5-D5A5-417C-9A3D-8CC5431A3DD7}" name="Details" dataDxfId="4"/>
    <tableColumn id="6" xr3:uid="{6B5828D5-4B73-426F-9AEB-9B2280524C8F}" name="Time" dataDxfId="3">
      <calculatedColumnFormula>IF(D7&lt;C7, D7+1, D7) - C7</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4A6574-3FF0-4809-85FD-1DDCB83EA4DD}" name="Table22" displayName="Table22" ref="A6:F11" totalsRowShown="0">
  <autoFilter ref="A6:F11" xr:uid="{B1FBB0C8-47CA-4FE8-A951-187DAAFDBA3A}"/>
  <tableColumns count="6">
    <tableColumn id="1" xr3:uid="{79650798-B691-458A-BE4A-5916DBAC4166}" name="Date"/>
    <tableColumn id="2" xr3:uid="{064DF555-2569-4B26-8250-62634D76A69A}" name="Start" dataDxfId="2"/>
    <tableColumn id="3" xr3:uid="{20620684-1ED7-4B49-B03F-DD32723B4EEF}" name="Finish"/>
    <tableColumn id="4" xr3:uid="{82FD299F-7E84-4584-8794-9F819C3DD798}" name="Task"/>
    <tableColumn id="5" xr3:uid="{C4AAFEC7-694F-42A2-A652-7DBB66C273C0}" name="Details" dataDxfId="1"/>
    <tableColumn id="6" xr3:uid="{3FF97942-C807-4B84-B488-6C3FE6D21D35}" name="Time" dataDxfId="0">
      <calculatedColumnFormula>IF(C7&lt;B7, C7+1, C7) - B7</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87D6-8664-4804-98D8-EE817E3A6A1B}">
  <dimension ref="A1:I25"/>
  <sheetViews>
    <sheetView tabSelected="1" topLeftCell="A22" workbookViewId="0">
      <selection activeCell="F26" sqref="F26"/>
    </sheetView>
  </sheetViews>
  <sheetFormatPr defaultRowHeight="15" x14ac:dyDescent="0.25"/>
  <cols>
    <col min="2" max="2" width="10.42578125" bestFit="1" customWidth="1"/>
    <col min="3" max="4" width="10.42578125" customWidth="1"/>
    <col min="5" max="5" width="17.85546875" bestFit="1" customWidth="1"/>
    <col min="6" max="6" width="47.42578125" style="3" customWidth="1"/>
  </cols>
  <sheetData>
    <row r="1" spans="1:9" s="4" customFormat="1" ht="26.25" x14ac:dyDescent="0.4">
      <c r="A1" s="4" t="s">
        <v>0</v>
      </c>
      <c r="F1" s="5"/>
    </row>
    <row r="2" spans="1:9" s="4" customFormat="1" ht="26.25" x14ac:dyDescent="0.4">
      <c r="A2" s="6" t="s">
        <v>8</v>
      </c>
      <c r="F2" s="5"/>
    </row>
    <row r="4" spans="1:9" x14ac:dyDescent="0.25">
      <c r="C4" t="s">
        <v>11</v>
      </c>
      <c r="D4" s="7">
        <f>SUM(G7:G41)</f>
        <v>2.5347222222222223</v>
      </c>
      <c r="I4" s="2"/>
    </row>
    <row r="5" spans="1:9" x14ac:dyDescent="0.25">
      <c r="I5" s="2"/>
    </row>
    <row r="6" spans="1:9" x14ac:dyDescent="0.25">
      <c r="B6" t="s">
        <v>6</v>
      </c>
      <c r="C6" t="s">
        <v>3</v>
      </c>
      <c r="D6" t="s">
        <v>4</v>
      </c>
      <c r="E6" t="s">
        <v>5</v>
      </c>
      <c r="F6" s="3" t="s">
        <v>7</v>
      </c>
      <c r="G6" t="s">
        <v>12</v>
      </c>
      <c r="I6" s="2"/>
    </row>
    <row r="7" spans="1:9" ht="30" x14ac:dyDescent="0.25">
      <c r="B7" s="1">
        <v>45738</v>
      </c>
      <c r="C7" s="2">
        <v>0.625</v>
      </c>
      <c r="D7" s="2">
        <v>0.77430555555555558</v>
      </c>
      <c r="E7" t="s">
        <v>1</v>
      </c>
      <c r="F7" s="3" t="s">
        <v>2</v>
      </c>
      <c r="G7" s="2">
        <f t="shared" ref="G7:G11" si="0">IF(D7&lt;C7, D7+1, D7) - C7</f>
        <v>0.14930555555555558</v>
      </c>
      <c r="I7" s="2"/>
    </row>
    <row r="8" spans="1:9" x14ac:dyDescent="0.25">
      <c r="C8" s="2">
        <v>0.87013888888888891</v>
      </c>
      <c r="D8" s="2">
        <v>4.1666666666666664E-2</v>
      </c>
      <c r="G8" s="2">
        <f t="shared" si="0"/>
        <v>0.17152777777777783</v>
      </c>
      <c r="I8" s="2"/>
    </row>
    <row r="9" spans="1:9" ht="30" x14ac:dyDescent="0.25">
      <c r="B9" s="1">
        <v>45739</v>
      </c>
      <c r="C9" s="2">
        <v>0.5</v>
      </c>
      <c r="D9" s="2">
        <v>0.5625</v>
      </c>
      <c r="E9" t="s">
        <v>1</v>
      </c>
      <c r="F9" s="3" t="s">
        <v>9</v>
      </c>
      <c r="G9" s="2">
        <f t="shared" si="0"/>
        <v>6.25E-2</v>
      </c>
      <c r="I9" s="2"/>
    </row>
    <row r="10" spans="1:9" ht="105" x14ac:dyDescent="0.25">
      <c r="C10" s="2">
        <v>0.79166666666666663</v>
      </c>
      <c r="D10" s="2">
        <v>0.88472222222222219</v>
      </c>
      <c r="E10" t="s">
        <v>1</v>
      </c>
      <c r="F10" s="3" t="s">
        <v>10</v>
      </c>
      <c r="G10" s="2">
        <f t="shared" si="0"/>
        <v>9.3055555555555558E-2</v>
      </c>
      <c r="I10" s="2"/>
    </row>
    <row r="11" spans="1:9" ht="45" x14ac:dyDescent="0.25">
      <c r="C11" s="2">
        <v>0.97430555555555554</v>
      </c>
      <c r="D11" s="2">
        <v>7.1527777777777773E-2</v>
      </c>
      <c r="E11" t="s">
        <v>1</v>
      </c>
      <c r="F11" s="3" t="s">
        <v>13</v>
      </c>
      <c r="G11" s="2">
        <f t="shared" si="0"/>
        <v>9.7222222222222321E-2</v>
      </c>
    </row>
    <row r="12" spans="1:9" ht="30" x14ac:dyDescent="0.25">
      <c r="B12" s="1">
        <v>45740</v>
      </c>
      <c r="C12" s="2">
        <v>0.54166666666666663</v>
      </c>
      <c r="D12" s="2">
        <v>0.6875</v>
      </c>
      <c r="E12" t="s">
        <v>1</v>
      </c>
      <c r="F12" s="3" t="s">
        <v>16</v>
      </c>
      <c r="G12" s="2">
        <f>IF(D12&lt;C12, D12+1, D12) - C12</f>
        <v>0.14583333333333337</v>
      </c>
    </row>
    <row r="13" spans="1:9" ht="60" x14ac:dyDescent="0.25">
      <c r="C13" s="2">
        <v>0.98611111111111116</v>
      </c>
      <c r="D13" s="2">
        <v>6.25E-2</v>
      </c>
      <c r="E13" t="s">
        <v>1</v>
      </c>
      <c r="F13" s="3" t="s">
        <v>19</v>
      </c>
      <c r="G13" s="2">
        <f>IF(D13&lt;C13, D13+1, D13) - C13</f>
        <v>7.638888888888884E-2</v>
      </c>
    </row>
    <row r="14" spans="1:9" ht="75" x14ac:dyDescent="0.25">
      <c r="B14" s="1">
        <v>45741</v>
      </c>
      <c r="C14" s="2">
        <v>0.63888888888888884</v>
      </c>
      <c r="D14" s="2">
        <v>0.79166666666666663</v>
      </c>
      <c r="E14" t="s">
        <v>1</v>
      </c>
      <c r="F14" s="3" t="s">
        <v>20</v>
      </c>
      <c r="G14" s="2">
        <f>IF(D14&lt;C14, D14+1, D14) - C14</f>
        <v>0.15277777777777779</v>
      </c>
    </row>
    <row r="15" spans="1:9" ht="60" x14ac:dyDescent="0.25">
      <c r="C15" s="2">
        <v>0.83333333333333337</v>
      </c>
      <c r="D15" s="2">
        <v>0.91666666666666663</v>
      </c>
      <c r="E15" t="s">
        <v>1</v>
      </c>
      <c r="F15" s="3" t="s">
        <v>21</v>
      </c>
      <c r="G15" s="2">
        <f>IF(D15&lt;C15, D15+1, D15) - C15</f>
        <v>8.3333333333333259E-2</v>
      </c>
    </row>
    <row r="16" spans="1:9" ht="135" x14ac:dyDescent="0.25">
      <c r="B16" s="1">
        <v>45742</v>
      </c>
      <c r="C16" s="2">
        <v>0.6875</v>
      </c>
      <c r="D16" s="2">
        <v>0.79166666666666663</v>
      </c>
      <c r="E16" t="s">
        <v>1</v>
      </c>
      <c r="F16" s="3" t="s">
        <v>22</v>
      </c>
      <c r="G16" s="2">
        <f>IF(D16&lt;C16, D16+1, D16) - C16</f>
        <v>0.10416666666666663</v>
      </c>
    </row>
    <row r="17" spans="2:7" x14ac:dyDescent="0.25">
      <c r="B17" s="1">
        <v>45744</v>
      </c>
      <c r="C17" s="2">
        <v>0.79166666666666663</v>
      </c>
      <c r="D17" s="2">
        <v>4.1666666666666664E-2</v>
      </c>
      <c r="E17" t="s">
        <v>1</v>
      </c>
      <c r="F17" s="3" t="s">
        <v>23</v>
      </c>
      <c r="G17" s="2">
        <f t="shared" ref="G17:G20" si="1">IF(D17&lt;C17, D17+1, D17) - C17</f>
        <v>0.25000000000000011</v>
      </c>
    </row>
    <row r="18" spans="2:7" x14ac:dyDescent="0.25">
      <c r="B18" s="1">
        <v>45745</v>
      </c>
      <c r="C18" s="2">
        <v>0.45833333333333331</v>
      </c>
      <c r="D18" s="2">
        <v>0.52083333333333337</v>
      </c>
      <c r="E18" t="s">
        <v>1</v>
      </c>
      <c r="F18" s="3" t="s">
        <v>23</v>
      </c>
      <c r="G18" s="2">
        <f t="shared" si="1"/>
        <v>6.2500000000000056E-2</v>
      </c>
    </row>
    <row r="19" spans="2:7" ht="60" x14ac:dyDescent="0.25">
      <c r="B19" s="1"/>
      <c r="C19" s="2">
        <v>0.625</v>
      </c>
      <c r="D19" s="2">
        <v>0.79166666666666663</v>
      </c>
      <c r="E19" t="s">
        <v>1</v>
      </c>
      <c r="F19" s="3" t="s">
        <v>24</v>
      </c>
      <c r="G19" s="2">
        <f t="shared" si="1"/>
        <v>0.16666666666666663</v>
      </c>
    </row>
    <row r="20" spans="2:7" x14ac:dyDescent="0.25">
      <c r="B20" s="1"/>
      <c r="C20" s="2">
        <v>0.875</v>
      </c>
      <c r="D20" s="2">
        <v>0.4375</v>
      </c>
      <c r="F20" s="3" t="s">
        <v>25</v>
      </c>
      <c r="G20" s="2">
        <f t="shared" si="1"/>
        <v>0.5625</v>
      </c>
    </row>
    <row r="21" spans="2:7" x14ac:dyDescent="0.25">
      <c r="C21" s="2">
        <v>0.98958333333333337</v>
      </c>
      <c r="D21" s="2">
        <v>4.1666666666666664E-2</v>
      </c>
      <c r="F21" s="3" t="s">
        <v>25</v>
      </c>
      <c r="G21" s="2">
        <f>IF(D21&lt;C21, D21+1, D21) - C21</f>
        <v>5.208333333333337E-2</v>
      </c>
    </row>
    <row r="22" spans="2:7" ht="75" x14ac:dyDescent="0.25">
      <c r="B22" s="1">
        <v>45746</v>
      </c>
      <c r="C22" s="2">
        <v>0.5</v>
      </c>
      <c r="D22" s="2">
        <v>0.61388888888888893</v>
      </c>
      <c r="E22" t="s">
        <v>1</v>
      </c>
      <c r="F22" s="3" t="s">
        <v>26</v>
      </c>
      <c r="G22" s="2">
        <f>IF(D22&lt;C22, D22+1, D22) - C22</f>
        <v>0.11388888888888893</v>
      </c>
    </row>
    <row r="23" spans="2:7" ht="30" x14ac:dyDescent="0.25">
      <c r="C23" s="2">
        <v>0.79166666666666663</v>
      </c>
      <c r="D23" s="2">
        <v>0.85763888888888884</v>
      </c>
      <c r="F23" s="3" t="s">
        <v>27</v>
      </c>
      <c r="G23" s="2">
        <f>IF(D23&lt;C23, D23+1, D23) - C23</f>
        <v>6.597222222222221E-2</v>
      </c>
    </row>
    <row r="24" spans="2:7" ht="75" x14ac:dyDescent="0.25">
      <c r="B24" s="1">
        <v>45747</v>
      </c>
      <c r="C24" s="2">
        <v>0.57291666666666663</v>
      </c>
      <c r="D24" s="2">
        <v>0.66666666666666663</v>
      </c>
      <c r="E24" t="s">
        <v>1</v>
      </c>
      <c r="F24" s="3" t="s">
        <v>28</v>
      </c>
      <c r="G24" s="2">
        <f>IF(D24&lt;C24, D24+1, D24) - C24</f>
        <v>9.375E-2</v>
      </c>
    </row>
    <row r="25" spans="2:7" ht="60" x14ac:dyDescent="0.25">
      <c r="C25" s="2">
        <v>0.75902777777777775</v>
      </c>
      <c r="D25" s="2">
        <v>0.79027777777777775</v>
      </c>
      <c r="E25" t="s">
        <v>1</v>
      </c>
      <c r="F25" s="3" t="s">
        <v>29</v>
      </c>
      <c r="G25" s="2">
        <f>IF(D25&lt;C25, D25+1, D25) - C25</f>
        <v>3.125E-2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AB43-9BF7-46C1-BE2D-33751923E718}">
  <dimension ref="A1:H11"/>
  <sheetViews>
    <sheetView topLeftCell="A2" workbookViewId="0">
      <selection activeCell="B8" sqref="B8"/>
    </sheetView>
  </sheetViews>
  <sheetFormatPr defaultRowHeight="15" x14ac:dyDescent="0.25"/>
  <cols>
    <col min="1" max="1" width="10.42578125" bestFit="1" customWidth="1"/>
    <col min="2" max="3" width="10.42578125" customWidth="1"/>
    <col min="4" max="4" width="17.85546875" bestFit="1" customWidth="1"/>
    <col min="5" max="5" width="47.42578125" style="3" customWidth="1"/>
  </cols>
  <sheetData>
    <row r="1" spans="1:8" s="4" customFormat="1" ht="26.25" x14ac:dyDescent="0.4">
      <c r="A1" s="4" t="s">
        <v>14</v>
      </c>
      <c r="E1" s="5"/>
    </row>
    <row r="2" spans="1:8" s="4" customFormat="1" ht="26.25" x14ac:dyDescent="0.4">
      <c r="A2" s="6" t="s">
        <v>15</v>
      </c>
      <c r="E2" s="5"/>
    </row>
    <row r="4" spans="1:8" x14ac:dyDescent="0.25">
      <c r="B4" t="s">
        <v>11</v>
      </c>
      <c r="C4" s="2">
        <f>SUM(F7:F37)</f>
        <v>2.083333333333337E-2</v>
      </c>
      <c r="H4" s="2"/>
    </row>
    <row r="5" spans="1:8" x14ac:dyDescent="0.25">
      <c r="H5" s="2"/>
    </row>
    <row r="6" spans="1:8" x14ac:dyDescent="0.25">
      <c r="A6" t="s">
        <v>6</v>
      </c>
      <c r="B6" t="s">
        <v>3</v>
      </c>
      <c r="C6" t="s">
        <v>4</v>
      </c>
      <c r="D6" t="s">
        <v>5</v>
      </c>
      <c r="E6" s="3" t="s">
        <v>7</v>
      </c>
      <c r="F6" t="s">
        <v>12</v>
      </c>
      <c r="H6" s="2"/>
    </row>
    <row r="7" spans="1:8" ht="120" x14ac:dyDescent="0.25">
      <c r="A7" s="1">
        <v>45740</v>
      </c>
      <c r="B7" s="2">
        <v>0.91666666666666663</v>
      </c>
      <c r="C7" s="2">
        <v>0.9375</v>
      </c>
      <c r="D7" s="3" t="s">
        <v>17</v>
      </c>
      <c r="E7" s="3" t="s">
        <v>18</v>
      </c>
      <c r="F7" s="2">
        <f t="shared" ref="F7:F11" si="0">IF(C7&lt;B7, C7+1, C7) - B7</f>
        <v>2.083333333333337E-2</v>
      </c>
      <c r="H7" s="2"/>
    </row>
    <row r="8" spans="1:8" x14ac:dyDescent="0.25">
      <c r="B8" s="2"/>
      <c r="C8" s="2"/>
      <c r="F8" s="2">
        <f t="shared" si="0"/>
        <v>0</v>
      </c>
      <c r="H8" s="2"/>
    </row>
    <row r="9" spans="1:8" x14ac:dyDescent="0.25">
      <c r="A9" s="1"/>
      <c r="B9" s="2"/>
      <c r="C9" s="2"/>
      <c r="F9" s="2">
        <f t="shared" si="0"/>
        <v>0</v>
      </c>
      <c r="H9" s="2"/>
    </row>
    <row r="10" spans="1:8" x14ac:dyDescent="0.25">
      <c r="B10" s="2"/>
      <c r="C10" s="2"/>
      <c r="F10" s="2">
        <f t="shared" si="0"/>
        <v>0</v>
      </c>
      <c r="H10" s="2"/>
    </row>
    <row r="11" spans="1:8" x14ac:dyDescent="0.25">
      <c r="B11" s="2"/>
      <c r="C11" s="2"/>
      <c r="F11" s="2">
        <f t="shared" si="0"/>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Smash Dungeon</vt:lpstr>
      <vt:lpstr>Godot Learning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SCARBOROUGH 18013919</dc:creator>
  <cp:lastModifiedBy>ADAM SCARBOROUGH 18013919</cp:lastModifiedBy>
  <dcterms:created xsi:type="dcterms:W3CDTF">2025-03-23T01:50:40Z</dcterms:created>
  <dcterms:modified xsi:type="dcterms:W3CDTF">2025-04-01T00:00:24Z</dcterms:modified>
</cp:coreProperties>
</file>