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amj\Documents\Game Development\Godot\Smash Dungeon\"/>
    </mc:Choice>
  </mc:AlternateContent>
  <xr:revisionPtr revIDLastSave="0" documentId="13_ncr:1_{32B43942-6166-40D9-ACF5-7153BE7C205D}" xr6:coauthVersionLast="47" xr6:coauthVersionMax="47" xr10:uidLastSave="{00000000-0000-0000-0000-000000000000}"/>
  <bookViews>
    <workbookView xWindow="-120" yWindow="-120" windowWidth="29040" windowHeight="15720" xr2:uid="{F19D98A7-6420-4EF7-85AF-F6CF1D239D63}"/>
  </bookViews>
  <sheets>
    <sheet name="Smash Dungeon" sheetId="1" r:id="rId1"/>
    <sheet name="Name Ideas" sheetId="4" r:id="rId2"/>
    <sheet name="Card Combiner" sheetId="3" r:id="rId3"/>
    <sheet name="Godot Learning"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9" i="1" l="1"/>
  <c r="G78" i="1"/>
  <c r="G77" i="1"/>
  <c r="G72" i="1"/>
  <c r="G76" i="1"/>
  <c r="G75" i="1"/>
  <c r="G74" i="1"/>
  <c r="G73" i="1"/>
  <c r="G71" i="1"/>
  <c r="G70" i="1"/>
  <c r="G69" i="1"/>
  <c r="G68" i="1"/>
  <c r="G67" i="1"/>
  <c r="G66" i="1"/>
  <c r="G65" i="1"/>
  <c r="G64" i="1"/>
  <c r="G63" i="1"/>
  <c r="G62" i="1"/>
  <c r="G61" i="1"/>
  <c r="G60" i="1"/>
  <c r="G59" i="1"/>
  <c r="G58" i="1"/>
  <c r="G57" i="1"/>
  <c r="G56" i="1"/>
  <c r="G55" i="1"/>
  <c r="G54" i="1"/>
  <c r="G53" i="1"/>
  <c r="G52" i="1"/>
  <c r="G51" i="1"/>
  <c r="G50" i="1"/>
  <c r="G49" i="1"/>
  <c r="G48" i="1"/>
  <c r="G47" i="1"/>
  <c r="G43" i="1"/>
  <c r="G44" i="1"/>
  <c r="G40" i="1"/>
  <c r="G41" i="1"/>
  <c r="G42" i="1"/>
  <c r="G45" i="1"/>
  <c r="G46" i="1"/>
  <c r="G36" i="1"/>
  <c r="G39" i="1"/>
  <c r="G38" i="1"/>
  <c r="G37" i="1"/>
  <c r="G35" i="1"/>
  <c r="G34" i="1"/>
  <c r="G33" i="1"/>
  <c r="D4" i="3"/>
  <c r="G7" i="3"/>
  <c r="G32" i="1"/>
  <c r="G31" i="1"/>
  <c r="G30" i="1"/>
  <c r="G29" i="1"/>
  <c r="G28" i="1"/>
  <c r="G27" i="1"/>
  <c r="G26" i="1"/>
  <c r="G25" i="1"/>
  <c r="G24" i="1"/>
  <c r="G23" i="1"/>
  <c r="G22" i="1"/>
  <c r="G21" i="1"/>
  <c r="G17" i="1"/>
  <c r="G18" i="1"/>
  <c r="G19" i="1"/>
  <c r="G20" i="1"/>
  <c r="G16" i="1"/>
  <c r="G15" i="1"/>
  <c r="G14" i="1"/>
  <c r="G13" i="1"/>
  <c r="G12" i="1"/>
  <c r="F11" i="2"/>
  <c r="F10" i="2"/>
  <c r="F9" i="2"/>
  <c r="F8" i="2"/>
  <c r="F7" i="2"/>
  <c r="G7" i="1"/>
  <c r="G8" i="1"/>
  <c r="G9" i="1"/>
  <c r="G10" i="1"/>
  <c r="G11" i="1"/>
  <c r="D4" i="1" l="1"/>
  <c r="C4" i="2"/>
</calcChain>
</file>

<file path=xl/sharedStrings.xml><?xml version="1.0" encoding="utf-8"?>
<sst xmlns="http://schemas.openxmlformats.org/spreadsheetml/2006/main" count="172" uniqueCount="99">
  <si>
    <t>Smash Dungeon</t>
  </si>
  <si>
    <t>Weapon behaviour</t>
  </si>
  <si>
    <t xml:space="preserve">Shifting to modular weapon behaviour, when refactoring, lost all functionality of weapons. </t>
  </si>
  <si>
    <t>Start</t>
  </si>
  <si>
    <t>Finish</t>
  </si>
  <si>
    <t>Task</t>
  </si>
  <si>
    <t>Date</t>
  </si>
  <si>
    <t>Details</t>
  </si>
  <si>
    <t>Dev Work Log</t>
  </si>
  <si>
    <t>Standardised new refactoring across all weapon behaviour. Many bugs, attempting to address bugs.</t>
  </si>
  <si>
    <t>Refactoring complete (still not as refactored as much as would like as projectile.gd still handles more than I would really like, but in interest of moving forward am making do with what we have for now). Now trouble fixing bugs in how projectiles are behaving. Fixed homing, fixed cluster bomb, currently fixing bounce orb (not bouncing)</t>
  </si>
  <si>
    <t>Total hours:</t>
  </si>
  <si>
    <t>Time</t>
  </si>
  <si>
    <t>Fixed bugs in all projectile weapons (apart from those which are down to preference and want to make better/different)</t>
  </si>
  <si>
    <t>Godot Learning</t>
  </si>
  <si>
    <t>Dev Practice Log</t>
  </si>
  <si>
    <t>Refactoring projectile system and improving behaviour system</t>
  </si>
  <si>
    <t>Brackeys Tutorial</t>
  </si>
  <si>
    <t xml:space="preserve">Starting from scratch
- animatable body2d (for moving objects you want to collide with, e.g. platform)
- enabled one-way collision in transport so player can jump from below
- animated spite2d (for player character)
-collision shape 2d (for player collision)
</t>
  </si>
  <si>
    <t>Refactoring system complete. Bug fixes for weapons.
Annoying 'indent' issue, hoping just needed a close and restart, will test tomorrow.</t>
  </si>
  <si>
    <t>Cleaning up refactored system.
- Added null refernces to behaviour manager
- Addressing missed signal connections
- Addressing timer managerment problems
- Physics and movement issues</t>
  </si>
  <si>
    <t>Fixing bugs with all weapons. Not very happy with how much weapons have all changed, but hopefully continual bug fixing will end up with a more resiliant system once done.</t>
  </si>
  <si>
    <t>Tidied up the following:
- Fixed Signal Safety Issues – Ensured all signals were properly connected and disconnected. 
- Fixed Behavior Application – Made sure behaviors were correctly applied to projectiles. 
- Implemented Safe Metadata Access – Added checks before accessing metadata.
- Added Null Reference Checks – Protected against null reference exceptions.</t>
  </si>
  <si>
    <t>Fixing singularity bomb</t>
  </si>
  <si>
    <t>Fixed singularity
Fixed bounce orb
Added wild bounce orb
Started working on cluster bomb</t>
  </si>
  <si>
    <t>Fixing cluster bomb</t>
  </si>
  <si>
    <t>Fixing cluster bomb
- created new cluster bomb behavior
- created new arc behavior
- created new explosion behavior
- created new multishot behavior</t>
  </si>
  <si>
    <t>Trying to fix behavior manager to parse new behaviors</t>
  </si>
  <si>
    <t>Tried using bezier behavior instead of arc for falling curve
- Created new BezierBehavior
- Updated multishot to try to give individual arcs
- Troubleshooting bezier behavior</t>
  </si>
  <si>
    <t>Fixed Cluster bomb/bezier behavior
- exploring how to adjust parameters in script
- question over how these changes to parameters could be utilised in weapon data</t>
  </si>
  <si>
    <t>Fixed cluster bomb/bezier behavior and adapted bezier to be able to accommodate mutiple projectiles (not just 3)</t>
  </si>
  <si>
    <t>Trying to fix shotgun with updates to mutishot and projectile_attack_style but questions over whether this will disrupt new bezier</t>
  </si>
  <si>
    <t>Attempting to fix shotgun</t>
  </si>
  <si>
    <t>Fixed Singularity
- Fixed pull blade</t>
  </si>
  <si>
    <t>Fixed shotgun and tested most weapons
- Need to re-fix singularity after adding bezier arc
- Most weapons functioning
- Need more differentation (although perhaps damage stats will help)
- Need to build documentation to detail parameters and how to change them
- Potentially try adding more new behaviors</t>
  </si>
  <si>
    <t>Added 'dagger' attack style, and started implementing 'cooldown' behavior, with meter. But cooldown and next attack don't quite seem in-line. Want to find way to make input more immediate, natural</t>
  </si>
  <si>
    <t>Fixing cooldown</t>
  </si>
  <si>
    <t>Card Combiner</t>
  </si>
  <si>
    <t>Basic Mechanic</t>
  </si>
  <si>
    <t>Created scenes, nodes, scripts
- created moveable buttons
- started to implement recipes system
- created cards and spawner</t>
  </si>
  <si>
    <t>Fixed cooldown
- Issues with certain weapons, e.g. singularity, fire staff</t>
  </si>
  <si>
    <t>Fixed bugs with cooldown/weapons
- All weapons now working
- Faster attacks
- started trying to implement new cooldown UI</t>
  </si>
  <si>
    <t>Need to get slower attacks trialed</t>
  </si>
  <si>
    <t>trial adding some new weapons?</t>
  </si>
  <si>
    <t>Changed UI for cooldown</t>
  </si>
  <si>
    <t>Weapon System</t>
  </si>
  <si>
    <t>Made some decisions on weapon progression in single player
- persistent weapon with scaling, and weapon drops that carry over (timed or with limited projectiles)</t>
  </si>
  <si>
    <t>Items/Tarot/Ritual</t>
  </si>
  <si>
    <t>Conceptual work on how system might work</t>
  </si>
  <si>
    <t>Added basic implemention of adding weapon sprites</t>
  </si>
  <si>
    <t>Weapon Sprites</t>
  </si>
  <si>
    <t>Adding Friendly Fire</t>
  </si>
  <si>
    <t>Adding Friendly Fire and reordering CSV</t>
  </si>
  <si>
    <t>Added Friendly fire - BUT THE WRONG MECHANIC!!!</t>
  </si>
  <si>
    <t>Added self-damage</t>
  </si>
  <si>
    <t>Looking into JSON storage solution</t>
  </si>
  <si>
    <t>Completing JSON setup</t>
  </si>
  <si>
    <t>Completed JSON setup</t>
  </si>
  <si>
    <t>Looking into fixing Singularity bomb</t>
  </si>
  <si>
    <t>Starting to think about creating new levels</t>
  </si>
  <si>
    <t>Implementing arena system
- fixed connection between existing scenes to load arenas</t>
  </si>
  <si>
    <t>Created new arena editor system:
Successfully debugged and fixed the ArenaDatabase singleton loading issue (identified the has_singleton timing quirk and implemented the direct access workaround).
Correctly integrated the GameManager, ArenaDatabase, and battle_arena scene flow for loading specific arena data.
Set up and used the arena_capture_tool to save layout data, including dynamic spawn points via Marker2Ds.
Successfully loaded and tested a second, different arena layout, proving the system's flexibility.
Defined a solid schema for placeholder TileSet properties to enable rapid functional level design.
Clarified how to handle backgrounds, parallax, decorations, and UI within this system.
Discussed potential future AI approaches</t>
  </si>
  <si>
    <t>Added Twin-Stick control system 
- Added bug, player character attacks in wrong direction</t>
  </si>
  <si>
    <t>Marketing</t>
  </si>
  <si>
    <t>Brainstorming names, etc</t>
  </si>
  <si>
    <t>Name Ideas</t>
  </si>
  <si>
    <t>Descendrum</t>
  </si>
  <si>
    <t>Fixing wrong direction
- attack styles were reversing direction being given by player and weapon base</t>
  </si>
  <si>
    <t>Control</t>
  </si>
  <si>
    <t>Bug Fix</t>
  </si>
  <si>
    <t>Creating Arena Select Screen</t>
  </si>
  <si>
    <t>Arena System</t>
  </si>
  <si>
    <t>Melee attack style crashing (something to do with attack_direction and timer? Need to check against other scripts and whole system</t>
  </si>
  <si>
    <t>Rewrote attack style base and attack styles to centralize player direction, and included collision utils into attack styles</t>
  </si>
  <si>
    <t>Enemy System</t>
  </si>
  <si>
    <t>Created new Enemy System:
- Enemy Manager
- Enemy config
- Basic Enemy
- Slime (attempt to create procedural slime enemy)
- Slime spit</t>
  </si>
  <si>
    <t>Added slithering limb</t>
  </si>
  <si>
    <t>Added more basic enemies:
- bouncer
- jumper
- turret
- procedural spider
- procedural spider 3d
- carrion beast</t>
  </si>
  <si>
    <t>Trying to fix hitboxes for pull blade and blast hammer</t>
  </si>
  <si>
    <t>Bug fix</t>
  </si>
  <si>
    <t>Fixed hitboxes for pull blade and blast hammer</t>
  </si>
  <si>
    <t>Centralised collisions for weapons</t>
  </si>
  <si>
    <t>Creating a new enemy</t>
  </si>
  <si>
    <t>Descendom</t>
  </si>
  <si>
    <t>Fixing projectile collisions
- Fixing dagger</t>
  </si>
  <si>
    <t>Creating enemy navigation system</t>
  </si>
  <si>
    <t>Fixed enemy navigation</t>
  </si>
  <si>
    <t>Began refactoring enemy system</t>
  </si>
  <si>
    <t>Enemies</t>
  </si>
  <si>
    <t>Finished first refactoring of enemy system</t>
  </si>
  <si>
    <t>Added Fodder enemy
- added zap fodder enemy
- created centralised weapon system for enemies to prevent references spread out across enemy script</t>
  </si>
  <si>
    <t>Adding weapon system to remaining enemies</t>
  </si>
  <si>
    <t>Crawling enemy - component system</t>
  </si>
  <si>
    <t>Gave up on crawling enemy
- component system unwiedly and couldn't produce the desired functionality</t>
  </si>
  <si>
    <t>Added procedural arena creations</t>
  </si>
  <si>
    <t>Decided to return to save after prcedural arena system</t>
  </si>
  <si>
    <t>Began refactoring to State Machine system</t>
  </si>
  <si>
    <t>Continuing to trouble shoot fodder_enemy_sm</t>
  </si>
  <si>
    <t>Refactoring state machine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</si>
</sst>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3" x14ac:knownFonts="1">
    <font>
      <sz val="11"/>
      <color theme="1"/>
      <name val="Aptos Narrow"/>
      <family val="2"/>
      <scheme val="minor"/>
    </font>
    <font>
      <sz val="20"/>
      <color theme="1"/>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6" tint="0.79998168889431442"/>
        <bgColor theme="6" tint="0.79998168889431442"/>
      </patternFill>
    </fill>
  </fills>
  <borders count="2">
    <border>
      <left/>
      <right/>
      <top/>
      <bottom/>
      <diagonal/>
    </border>
    <border>
      <left style="thin">
        <color theme="6"/>
      </left>
      <right style="thin">
        <color theme="6"/>
      </right>
      <top style="thin">
        <color theme="6"/>
      </top>
      <bottom style="thin">
        <color theme="6"/>
      </bottom>
      <diagonal/>
    </border>
  </borders>
  <cellStyleXfs count="1">
    <xf numFmtId="0" fontId="0" fillId="0" borderId="0"/>
  </cellStyleXfs>
  <cellXfs count="10">
    <xf numFmtId="0" fontId="0" fillId="0" borderId="0" xfId="0"/>
    <xf numFmtId="14" fontId="0" fillId="0" borderId="0" xfId="0" applyNumberFormat="1"/>
    <xf numFmtId="20"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164" fontId="0" fillId="0" borderId="0" xfId="0" applyNumberFormat="1"/>
    <xf numFmtId="0" fontId="0" fillId="2" borderId="1" xfId="0" applyFill="1" applyBorder="1" applyAlignment="1">
      <alignment wrapText="1"/>
    </xf>
    <xf numFmtId="0" fontId="0" fillId="0" borderId="1" xfId="0" applyBorder="1" applyAlignment="1">
      <alignment wrapText="1"/>
    </xf>
  </cellXfs>
  <cellStyles count="1">
    <cellStyle name="Normal" xfId="0" builtinId="0"/>
  </cellStyles>
  <dxfs count="9">
    <dxf>
      <numFmt numFmtId="25" formatCode="hh:mm"/>
    </dxf>
    <dxf>
      <alignment horizontal="general" vertical="bottom" textRotation="0" wrapText="1" indent="0" justifyLastLine="0" shrinkToFit="0" readingOrder="0"/>
    </dxf>
    <dxf>
      <numFmt numFmtId="25" formatCode="hh:mm"/>
    </dxf>
    <dxf>
      <numFmt numFmtId="25" formatCode="hh:mm"/>
    </dxf>
    <dxf>
      <alignment horizontal="general" vertical="bottom" textRotation="0" wrapText="1" indent="0" justifyLastLine="0" shrinkToFit="0" readingOrder="0"/>
    </dxf>
    <dxf>
      <numFmt numFmtId="25" formatCode="hh:mm"/>
    </dxf>
    <dxf>
      <numFmt numFmtId="25" formatCode="hh:mm"/>
    </dxf>
    <dxf>
      <alignment horizontal="general" vertical="bottom" textRotation="0" wrapText="1" indent="0" justifyLastLine="0" shrinkToFit="0" readingOrder="0"/>
    </dxf>
    <dxf>
      <numFmt numFmtId="25" formatCode="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FBB0C8-47CA-4FE8-A951-187DAAFDBA3A}" name="Table2" displayName="Table2" ref="B6:G79" totalsRowShown="0">
  <autoFilter ref="B6:G79" xr:uid="{B1FBB0C8-47CA-4FE8-A951-187DAAFDBA3A}"/>
  <tableColumns count="6">
    <tableColumn id="1" xr3:uid="{9EDA08BC-FC93-4374-BA7A-6AB42BF27608}" name="Date"/>
    <tableColumn id="2" xr3:uid="{E52E82DE-B123-4B3E-8A7E-4FB2C6CEEE64}" name="Start" dataDxfId="8"/>
    <tableColumn id="3" xr3:uid="{385CF12C-F475-4237-A1B1-BA2B136D502D}" name="Finish"/>
    <tableColumn id="4" xr3:uid="{A53CF1BF-F8B6-4BD3-8E81-2C1B7E645EAD}" name="Task"/>
    <tableColumn id="5" xr3:uid="{82A06DB5-D5A5-417C-9A3D-8CC5431A3DD7}" name="Details" dataDxfId="7"/>
    <tableColumn id="6" xr3:uid="{6B5828D5-4B73-426F-9AEB-9B2280524C8F}" name="Time" dataDxfId="6">
      <calculatedColumnFormula>IF(D7&lt;C7, D7+1, D7) - C7</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49BDCB-9AE2-4D8E-9526-2EE8E335347E}" name="Table24" displayName="Table24" ref="B6:G32" totalsRowShown="0">
  <autoFilter ref="B6:G32" xr:uid="{AE49BDCB-9AE2-4D8E-9526-2EE8E335347E}"/>
  <tableColumns count="6">
    <tableColumn id="1" xr3:uid="{FAD75835-A4A6-4918-9A7C-99AF5B35770D}" name="Date"/>
    <tableColumn id="2" xr3:uid="{F0977FC6-F5CF-465A-9207-1F73F89AE501}" name="Start" dataDxfId="5"/>
    <tableColumn id="3" xr3:uid="{AD0BF73D-5F1F-45CA-8916-5DFA51120605}" name="Finish"/>
    <tableColumn id="4" xr3:uid="{4BFA8C06-23BA-461E-9D77-82786B1054D2}" name="Task"/>
    <tableColumn id="5" xr3:uid="{6A295F47-2BD5-4F2C-9493-8C28EB221635}" name="Details" dataDxfId="4"/>
    <tableColumn id="6" xr3:uid="{59C01672-DED4-421F-882C-FE79042D7229}" name="Time" dataDxfId="3">
      <calculatedColumnFormula>IF(D7&lt;C7, D7+1, D7) - C7</calculatedColumnFormula>
    </tableColumn>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4A6574-3FF0-4809-85FD-1DDCB83EA4DD}" name="Table22" displayName="Table22" ref="A6:F11" totalsRowShown="0">
  <autoFilter ref="A6:F11" xr:uid="{B1FBB0C8-47CA-4FE8-A951-187DAAFDBA3A}"/>
  <tableColumns count="6">
    <tableColumn id="1" xr3:uid="{79650798-B691-458A-BE4A-5916DBAC4166}" name="Date"/>
    <tableColumn id="2" xr3:uid="{064DF555-2569-4B26-8250-62634D76A69A}" name="Start" dataDxfId="2"/>
    <tableColumn id="3" xr3:uid="{20620684-1ED7-4B49-B03F-DD32723B4EEF}" name="Finish"/>
    <tableColumn id="4" xr3:uid="{82FD299F-7E84-4584-8794-9F819C3DD798}" name="Task"/>
    <tableColumn id="5" xr3:uid="{C4AAFEC7-694F-42A2-A652-7DBB66C273C0}" name="Details" dataDxfId="1"/>
    <tableColumn id="6" xr3:uid="{3FF97942-C807-4B84-B488-6C3FE6D21D35}" name="Time" dataDxfId="0">
      <calculatedColumnFormula>IF(C7&lt;B7, C7+1, C7) - B7</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87D6-8664-4804-98D8-EE817E3A6A1B}">
  <dimension ref="A1:I82"/>
  <sheetViews>
    <sheetView tabSelected="1" topLeftCell="A60" workbookViewId="0">
      <selection activeCell="D79" sqref="D79"/>
    </sheetView>
  </sheetViews>
  <sheetFormatPr defaultRowHeight="15" x14ac:dyDescent="0.25"/>
  <cols>
    <col min="2" max="2" width="10.42578125" bestFit="1" customWidth="1"/>
    <col min="3" max="4" width="10.42578125" customWidth="1"/>
    <col min="5" max="5" width="17.85546875" bestFit="1" customWidth="1"/>
    <col min="6" max="6" width="47.42578125" style="3" customWidth="1"/>
  </cols>
  <sheetData>
    <row r="1" spans="1:9" s="4" customFormat="1" ht="26.25" x14ac:dyDescent="0.4">
      <c r="A1" s="4" t="s">
        <v>0</v>
      </c>
      <c r="F1" s="5"/>
    </row>
    <row r="2" spans="1:9" s="4" customFormat="1" ht="26.25" x14ac:dyDescent="0.4">
      <c r="A2" s="6" t="s">
        <v>8</v>
      </c>
      <c r="F2" s="5"/>
    </row>
    <row r="4" spans="1:9" x14ac:dyDescent="0.25">
      <c r="C4" t="s">
        <v>11</v>
      </c>
      <c r="D4" s="7">
        <f>SUM(G7:G79)</f>
        <v>8.1909722222222214</v>
      </c>
      <c r="I4" s="2"/>
    </row>
    <row r="5" spans="1:9" x14ac:dyDescent="0.25">
      <c r="I5" s="2"/>
    </row>
    <row r="6" spans="1:9" x14ac:dyDescent="0.25">
      <c r="B6" t="s">
        <v>6</v>
      </c>
      <c r="C6" t="s">
        <v>3</v>
      </c>
      <c r="D6" t="s">
        <v>4</v>
      </c>
      <c r="E6" t="s">
        <v>5</v>
      </c>
      <c r="F6" s="3" t="s">
        <v>7</v>
      </c>
      <c r="G6" t="s">
        <v>12</v>
      </c>
      <c r="I6" s="2"/>
    </row>
    <row r="7" spans="1:9" ht="30" x14ac:dyDescent="0.25">
      <c r="B7" s="1">
        <v>45738</v>
      </c>
      <c r="C7" s="2">
        <v>0.625</v>
      </c>
      <c r="D7" s="2">
        <v>0.77430555555555558</v>
      </c>
      <c r="E7" t="s">
        <v>1</v>
      </c>
      <c r="F7" s="3" t="s">
        <v>2</v>
      </c>
      <c r="G7" s="2">
        <f t="shared" ref="G7:G11" si="0">IF(D7&lt;C7, D7+1, D7) - C7</f>
        <v>0.14930555555555558</v>
      </c>
      <c r="I7" s="2"/>
    </row>
    <row r="8" spans="1:9" x14ac:dyDescent="0.25">
      <c r="C8" s="2">
        <v>0.87013888888888891</v>
      </c>
      <c r="D8" s="2">
        <v>4.1666666666666664E-2</v>
      </c>
      <c r="G8" s="2">
        <f t="shared" si="0"/>
        <v>0.17152777777777783</v>
      </c>
      <c r="I8" s="2"/>
    </row>
    <row r="9" spans="1:9" ht="30" x14ac:dyDescent="0.25">
      <c r="B9" s="1">
        <v>45739</v>
      </c>
      <c r="C9" s="2">
        <v>0.5</v>
      </c>
      <c r="D9" s="2">
        <v>0.5625</v>
      </c>
      <c r="E9" t="s">
        <v>1</v>
      </c>
      <c r="F9" s="3" t="s">
        <v>9</v>
      </c>
      <c r="G9" s="2">
        <f t="shared" si="0"/>
        <v>6.25E-2</v>
      </c>
      <c r="I9" s="2"/>
    </row>
    <row r="10" spans="1:9" ht="105" x14ac:dyDescent="0.25">
      <c r="C10" s="2">
        <v>0.79166666666666663</v>
      </c>
      <c r="D10" s="2">
        <v>0.88472222222222219</v>
      </c>
      <c r="E10" t="s">
        <v>1</v>
      </c>
      <c r="F10" s="3" t="s">
        <v>10</v>
      </c>
      <c r="G10" s="2">
        <f t="shared" si="0"/>
        <v>9.3055555555555558E-2</v>
      </c>
      <c r="I10" s="2"/>
    </row>
    <row r="11" spans="1:9" ht="45" x14ac:dyDescent="0.25">
      <c r="C11" s="2">
        <v>0.97430555555555554</v>
      </c>
      <c r="D11" s="2">
        <v>7.1527777777777773E-2</v>
      </c>
      <c r="E11" t="s">
        <v>1</v>
      </c>
      <c r="F11" s="3" t="s">
        <v>13</v>
      </c>
      <c r="G11" s="2">
        <f t="shared" si="0"/>
        <v>9.7222222222222321E-2</v>
      </c>
    </row>
    <row r="12" spans="1:9" ht="30" x14ac:dyDescent="0.25">
      <c r="B12" s="1">
        <v>45740</v>
      </c>
      <c r="C12" s="2">
        <v>0.54166666666666663</v>
      </c>
      <c r="D12" s="2">
        <v>0.6875</v>
      </c>
      <c r="E12" t="s">
        <v>1</v>
      </c>
      <c r="F12" s="3" t="s">
        <v>16</v>
      </c>
      <c r="G12" s="2">
        <f>IF(D12&lt;C12, D12+1, D12) - C12</f>
        <v>0.14583333333333337</v>
      </c>
    </row>
    <row r="13" spans="1:9" ht="60" x14ac:dyDescent="0.25">
      <c r="C13" s="2">
        <v>0.98611111111111116</v>
      </c>
      <c r="D13" s="2">
        <v>6.25E-2</v>
      </c>
      <c r="E13" t="s">
        <v>1</v>
      </c>
      <c r="F13" s="3" t="s">
        <v>19</v>
      </c>
      <c r="G13" s="2">
        <f>IF(D13&lt;C13, D13+1, D13) - C13</f>
        <v>7.638888888888884E-2</v>
      </c>
    </row>
    <row r="14" spans="1:9" ht="75" x14ac:dyDescent="0.25">
      <c r="B14" s="1">
        <v>45741</v>
      </c>
      <c r="C14" s="2">
        <v>0.63888888888888884</v>
      </c>
      <c r="D14" s="2">
        <v>0.79166666666666663</v>
      </c>
      <c r="E14" t="s">
        <v>1</v>
      </c>
      <c r="F14" s="3" t="s">
        <v>20</v>
      </c>
      <c r="G14" s="2">
        <f>IF(D14&lt;C14, D14+1, D14) - C14</f>
        <v>0.15277777777777779</v>
      </c>
    </row>
    <row r="15" spans="1:9" ht="60" x14ac:dyDescent="0.25">
      <c r="C15" s="2">
        <v>0.83333333333333337</v>
      </c>
      <c r="D15" s="2">
        <v>0.91666666666666663</v>
      </c>
      <c r="E15" t="s">
        <v>1</v>
      </c>
      <c r="F15" s="3" t="s">
        <v>21</v>
      </c>
      <c r="G15" s="2">
        <f>IF(D15&lt;C15, D15+1, D15) - C15</f>
        <v>8.3333333333333259E-2</v>
      </c>
    </row>
    <row r="16" spans="1:9" ht="135" x14ac:dyDescent="0.25">
      <c r="B16" s="1">
        <v>45742</v>
      </c>
      <c r="C16" s="2">
        <v>0.6875</v>
      </c>
      <c r="D16" s="2">
        <v>0.79166666666666663</v>
      </c>
      <c r="E16" t="s">
        <v>1</v>
      </c>
      <c r="F16" s="3" t="s">
        <v>22</v>
      </c>
      <c r="G16" s="2">
        <f>IF(D16&lt;C16, D16+1, D16) - C16</f>
        <v>0.10416666666666663</v>
      </c>
    </row>
    <row r="17" spans="2:7" x14ac:dyDescent="0.25">
      <c r="B17" s="1">
        <v>45744</v>
      </c>
      <c r="C17" s="2">
        <v>0.79166666666666663</v>
      </c>
      <c r="D17" s="2">
        <v>4.1666666666666664E-2</v>
      </c>
      <c r="E17" t="s">
        <v>1</v>
      </c>
      <c r="F17" s="3" t="s">
        <v>23</v>
      </c>
      <c r="G17" s="2">
        <f t="shared" ref="G17:G20" si="1">IF(D17&lt;C17, D17+1, D17) - C17</f>
        <v>0.25000000000000011</v>
      </c>
    </row>
    <row r="18" spans="2:7" x14ac:dyDescent="0.25">
      <c r="B18" s="1">
        <v>45745</v>
      </c>
      <c r="C18" s="2">
        <v>0.45833333333333331</v>
      </c>
      <c r="D18" s="2">
        <v>0.52083333333333337</v>
      </c>
      <c r="E18" t="s">
        <v>1</v>
      </c>
      <c r="F18" s="3" t="s">
        <v>23</v>
      </c>
      <c r="G18" s="2">
        <f t="shared" si="1"/>
        <v>6.2500000000000056E-2</v>
      </c>
    </row>
    <row r="19" spans="2:7" ht="60" x14ac:dyDescent="0.25">
      <c r="B19" s="1"/>
      <c r="C19" s="2">
        <v>0.625</v>
      </c>
      <c r="D19" s="2">
        <v>0.79166666666666663</v>
      </c>
      <c r="E19" t="s">
        <v>1</v>
      </c>
      <c r="F19" s="3" t="s">
        <v>24</v>
      </c>
      <c r="G19" s="2">
        <f t="shared" si="1"/>
        <v>0.16666666666666663</v>
      </c>
    </row>
    <row r="20" spans="2:7" x14ac:dyDescent="0.25">
      <c r="B20" s="1"/>
      <c r="C20" s="2">
        <v>0.875</v>
      </c>
      <c r="D20" s="2">
        <v>0.4375</v>
      </c>
      <c r="F20" s="3" t="s">
        <v>25</v>
      </c>
      <c r="G20" s="2">
        <f t="shared" si="1"/>
        <v>0.5625</v>
      </c>
    </row>
    <row r="21" spans="2:7" x14ac:dyDescent="0.25">
      <c r="C21" s="2">
        <v>0.98958333333333337</v>
      </c>
      <c r="D21" s="2">
        <v>4.1666666666666664E-2</v>
      </c>
      <c r="F21" s="3" t="s">
        <v>25</v>
      </c>
      <c r="G21" s="2">
        <f t="shared" ref="G21:G27" si="2">IF(D21&lt;C21, D21+1, D21) - C21</f>
        <v>5.208333333333337E-2</v>
      </c>
    </row>
    <row r="22" spans="2:7" ht="75" x14ac:dyDescent="0.25">
      <c r="B22" s="1">
        <v>45746</v>
      </c>
      <c r="C22" s="2">
        <v>0.5</v>
      </c>
      <c r="D22" s="2">
        <v>0.61388888888888893</v>
      </c>
      <c r="E22" t="s">
        <v>1</v>
      </c>
      <c r="F22" s="3" t="s">
        <v>26</v>
      </c>
      <c r="G22" s="2">
        <f t="shared" si="2"/>
        <v>0.11388888888888893</v>
      </c>
    </row>
    <row r="23" spans="2:7" ht="30" x14ac:dyDescent="0.25">
      <c r="C23" s="2">
        <v>0.79166666666666663</v>
      </c>
      <c r="D23" s="2">
        <v>0.85763888888888884</v>
      </c>
      <c r="F23" s="3" t="s">
        <v>27</v>
      </c>
      <c r="G23" s="2">
        <f t="shared" si="2"/>
        <v>6.597222222222221E-2</v>
      </c>
    </row>
    <row r="24" spans="2:7" ht="75" x14ac:dyDescent="0.25">
      <c r="B24" s="1">
        <v>45747</v>
      </c>
      <c r="C24" s="2">
        <v>0.57291666666666663</v>
      </c>
      <c r="D24" s="2">
        <v>0.66666666666666663</v>
      </c>
      <c r="E24" t="s">
        <v>1</v>
      </c>
      <c r="F24" s="3" t="s">
        <v>28</v>
      </c>
      <c r="G24" s="2">
        <f t="shared" si="2"/>
        <v>9.375E-2</v>
      </c>
    </row>
    <row r="25" spans="2:7" ht="60" x14ac:dyDescent="0.25">
      <c r="C25" s="2">
        <v>0.75902777777777775</v>
      </c>
      <c r="D25" s="2">
        <v>0.79027777777777775</v>
      </c>
      <c r="E25" t="s">
        <v>1</v>
      </c>
      <c r="F25" s="3" t="s">
        <v>29</v>
      </c>
      <c r="G25" s="2">
        <f t="shared" si="2"/>
        <v>3.125E-2</v>
      </c>
    </row>
    <row r="26" spans="2:7" ht="45" x14ac:dyDescent="0.25">
      <c r="C26" s="2">
        <v>0.89583333333333337</v>
      </c>
      <c r="D26" s="2">
        <v>0.98263888888888884</v>
      </c>
      <c r="E26" t="s">
        <v>1</v>
      </c>
      <c r="F26" s="3" t="s">
        <v>30</v>
      </c>
      <c r="G26" s="2">
        <f t="shared" si="2"/>
        <v>8.6805555555555469E-2</v>
      </c>
    </row>
    <row r="27" spans="2:7" ht="45" x14ac:dyDescent="0.25">
      <c r="C27" s="2">
        <v>3.472222222222222E-3</v>
      </c>
      <c r="D27" s="2">
        <v>3.4722222222222224E-2</v>
      </c>
      <c r="E27" t="s">
        <v>1</v>
      </c>
      <c r="F27" s="3" t="s">
        <v>31</v>
      </c>
      <c r="G27" s="2">
        <f t="shared" si="2"/>
        <v>3.125E-2</v>
      </c>
    </row>
    <row r="28" spans="2:7" x14ac:dyDescent="0.25">
      <c r="B28" s="1">
        <v>45749</v>
      </c>
      <c r="C28" s="2">
        <v>0.95833333333333337</v>
      </c>
      <c r="D28" s="2">
        <v>0.99305555555555558</v>
      </c>
      <c r="E28" t="s">
        <v>1</v>
      </c>
      <c r="F28" s="3" t="s">
        <v>32</v>
      </c>
      <c r="G28" s="2">
        <f t="shared" ref="G28:G33" si="3">IF(D28&lt;C28, D28+1, D28) - C28</f>
        <v>3.472222222222221E-2</v>
      </c>
    </row>
    <row r="29" spans="2:7" ht="120" x14ac:dyDescent="0.25">
      <c r="B29" s="1">
        <v>45750</v>
      </c>
      <c r="C29" s="2">
        <v>0.96180555555555558</v>
      </c>
      <c r="D29" s="2">
        <v>3.7499999999999999E-2</v>
      </c>
      <c r="E29" t="s">
        <v>1</v>
      </c>
      <c r="F29" s="3" t="s">
        <v>34</v>
      </c>
      <c r="G29" s="2">
        <f t="shared" si="3"/>
        <v>7.5694444444444509E-2</v>
      </c>
    </row>
    <row r="30" spans="2:7" ht="30" x14ac:dyDescent="0.25">
      <c r="B30" s="1">
        <v>45751</v>
      </c>
      <c r="C30" s="2">
        <v>0.6875</v>
      </c>
      <c r="D30" s="2">
        <v>0.72569444444444442</v>
      </c>
      <c r="E30" t="s">
        <v>1</v>
      </c>
      <c r="F30" s="3" t="s">
        <v>33</v>
      </c>
      <c r="G30" s="2">
        <f t="shared" si="3"/>
        <v>3.819444444444442E-2</v>
      </c>
    </row>
    <row r="31" spans="2:7" ht="75" x14ac:dyDescent="0.25">
      <c r="C31" s="2">
        <v>0.88124999999999998</v>
      </c>
      <c r="D31" s="2">
        <v>0.91180555555555554</v>
      </c>
      <c r="E31" t="s">
        <v>1</v>
      </c>
      <c r="F31" s="3" t="s">
        <v>35</v>
      </c>
      <c r="G31" s="2">
        <f t="shared" si="3"/>
        <v>3.0555555555555558E-2</v>
      </c>
    </row>
    <row r="32" spans="2:7" x14ac:dyDescent="0.25">
      <c r="B32" s="1">
        <v>45752</v>
      </c>
      <c r="C32" s="2">
        <v>0.625</v>
      </c>
      <c r="D32" s="2">
        <v>0.82291666666666663</v>
      </c>
      <c r="E32" t="s">
        <v>1</v>
      </c>
      <c r="F32" s="3" t="s">
        <v>36</v>
      </c>
      <c r="G32" s="2">
        <f t="shared" si="3"/>
        <v>0.19791666666666663</v>
      </c>
    </row>
    <row r="33" spans="2:7" ht="45" x14ac:dyDescent="0.25">
      <c r="B33" s="1">
        <v>45753</v>
      </c>
      <c r="C33" s="2">
        <v>0.6791666666666667</v>
      </c>
      <c r="D33" s="2">
        <v>0.71666666666666667</v>
      </c>
      <c r="E33" t="s">
        <v>1</v>
      </c>
      <c r="F33" s="3" t="s">
        <v>40</v>
      </c>
      <c r="G33" s="2">
        <f t="shared" si="3"/>
        <v>3.7499999999999978E-2</v>
      </c>
    </row>
    <row r="34" spans="2:7" ht="60" x14ac:dyDescent="0.25">
      <c r="C34" s="2">
        <v>0.89722222222222225</v>
      </c>
      <c r="D34" s="2">
        <v>0.95833333333333337</v>
      </c>
      <c r="E34" t="s">
        <v>1</v>
      </c>
      <c r="F34" s="3" t="s">
        <v>41</v>
      </c>
      <c r="G34" s="2">
        <f t="shared" ref="G34:G39" si="4">IF(D34&lt;C34, D34+1, D34) - C34</f>
        <v>6.1111111111111116E-2</v>
      </c>
    </row>
    <row r="35" spans="2:7" x14ac:dyDescent="0.25">
      <c r="B35" s="1">
        <v>45754</v>
      </c>
      <c r="C35" s="2">
        <v>0.63541666666666663</v>
      </c>
      <c r="D35" s="2">
        <v>0.70833333333333337</v>
      </c>
      <c r="E35" t="s">
        <v>1</v>
      </c>
      <c r="F35" s="3" t="s">
        <v>44</v>
      </c>
      <c r="G35" s="2">
        <f t="shared" si="4"/>
        <v>7.2916666666666741E-2</v>
      </c>
    </row>
    <row r="36" spans="2:7" x14ac:dyDescent="0.25">
      <c r="B36" s="1"/>
      <c r="C36" s="2">
        <v>0.70833333333333337</v>
      </c>
      <c r="D36" s="2">
        <v>0.875</v>
      </c>
      <c r="E36" t="s">
        <v>47</v>
      </c>
      <c r="F36" s="3" t="s">
        <v>48</v>
      </c>
      <c r="G36" s="2">
        <f t="shared" si="4"/>
        <v>0.16666666666666663</v>
      </c>
    </row>
    <row r="37" spans="2:7" ht="75" x14ac:dyDescent="0.25">
      <c r="C37" s="2">
        <v>0.89097222222222228</v>
      </c>
      <c r="D37" s="2">
        <v>0.93055555555555558</v>
      </c>
      <c r="E37" t="s">
        <v>45</v>
      </c>
      <c r="F37" s="3" t="s">
        <v>46</v>
      </c>
      <c r="G37" s="2">
        <f t="shared" si="4"/>
        <v>3.9583333333333304E-2</v>
      </c>
    </row>
    <row r="38" spans="2:7" ht="30" x14ac:dyDescent="0.25">
      <c r="C38" s="2">
        <v>0.98611111111111116</v>
      </c>
      <c r="D38" s="2">
        <v>6.9444444444444441E-3</v>
      </c>
      <c r="E38" t="s">
        <v>50</v>
      </c>
      <c r="F38" s="3" t="s">
        <v>49</v>
      </c>
      <c r="G38" s="2">
        <f t="shared" si="4"/>
        <v>2.0833333333333259E-2</v>
      </c>
    </row>
    <row r="39" spans="2:7" x14ac:dyDescent="0.25">
      <c r="B39" s="1">
        <v>45755</v>
      </c>
      <c r="C39" s="2">
        <v>0.64583333333333337</v>
      </c>
      <c r="D39" s="2">
        <v>0.69861111111111107</v>
      </c>
      <c r="E39" t="s">
        <v>45</v>
      </c>
      <c r="F39" s="3" t="s">
        <v>51</v>
      </c>
      <c r="G39" s="2">
        <f t="shared" si="4"/>
        <v>5.2777777777777701E-2</v>
      </c>
    </row>
    <row r="40" spans="2:7" x14ac:dyDescent="0.25">
      <c r="B40" s="1"/>
      <c r="C40" s="2">
        <v>0.90277777777777779</v>
      </c>
      <c r="D40" s="2">
        <v>0.94444444444444442</v>
      </c>
      <c r="E40" t="s">
        <v>45</v>
      </c>
      <c r="F40" s="3" t="s">
        <v>52</v>
      </c>
      <c r="G40" s="2">
        <f>IF(D40&lt;C40, D40+1, D40) - C40</f>
        <v>4.166666666666663E-2</v>
      </c>
    </row>
    <row r="41" spans="2:7" x14ac:dyDescent="0.25">
      <c r="B41" s="1">
        <v>45756</v>
      </c>
      <c r="C41" s="2">
        <v>0.65972222222222221</v>
      </c>
      <c r="D41" s="2">
        <v>0.75</v>
      </c>
      <c r="E41" t="s">
        <v>45</v>
      </c>
      <c r="F41" s="3" t="s">
        <v>53</v>
      </c>
      <c r="G41" s="2">
        <f>IF(D41&lt;C41, D41+1, D41) - C41</f>
        <v>9.027777777777779E-2</v>
      </c>
    </row>
    <row r="42" spans="2:7" x14ac:dyDescent="0.25">
      <c r="B42" s="1"/>
      <c r="C42" s="2">
        <v>0.84513888888888888</v>
      </c>
      <c r="D42" s="2">
        <v>0.9375</v>
      </c>
      <c r="E42" t="s">
        <v>45</v>
      </c>
      <c r="F42" s="3" t="s">
        <v>54</v>
      </c>
      <c r="G42" s="2">
        <f>IF(D42&lt;C42, D42+1, D42) - C42</f>
        <v>9.2361111111111116E-2</v>
      </c>
    </row>
    <row r="43" spans="2:7" x14ac:dyDescent="0.25">
      <c r="B43" s="1">
        <v>45757</v>
      </c>
      <c r="C43" s="2">
        <v>0.68055555555555558</v>
      </c>
      <c r="D43" s="2"/>
      <c r="E43" t="s">
        <v>45</v>
      </c>
      <c r="F43" s="3" t="s">
        <v>55</v>
      </c>
      <c r="G43" s="2">
        <f>IF(D43&lt;C43, D43+1, D43) - C43</f>
        <v>0.31944444444444442</v>
      </c>
    </row>
    <row r="44" spans="2:7" x14ac:dyDescent="0.25">
      <c r="B44" s="1">
        <v>45758</v>
      </c>
      <c r="C44" s="2">
        <v>0.5</v>
      </c>
      <c r="D44" s="2">
        <v>0.65972222222222221</v>
      </c>
      <c r="E44" t="s">
        <v>45</v>
      </c>
      <c r="F44" s="3" t="s">
        <v>56</v>
      </c>
      <c r="G44" s="2">
        <f>IF(D44&lt;C44, D44+1, D44) - C44</f>
        <v>0.15972222222222221</v>
      </c>
    </row>
    <row r="45" spans="2:7" x14ac:dyDescent="0.25">
      <c r="C45" s="2">
        <v>0.66666666666666663</v>
      </c>
      <c r="D45" s="2">
        <v>0.70833333333333337</v>
      </c>
      <c r="E45" t="s">
        <v>45</v>
      </c>
      <c r="F45" s="3" t="s">
        <v>57</v>
      </c>
      <c r="G45" s="2">
        <f t="shared" ref="G45:G46" si="5">IF(D45&lt;C45, D45+1, D45) - C45</f>
        <v>4.1666666666666741E-2</v>
      </c>
    </row>
    <row r="46" spans="2:7" x14ac:dyDescent="0.25">
      <c r="C46" s="2">
        <v>0.70833333333333337</v>
      </c>
      <c r="D46" s="2">
        <v>0.75</v>
      </c>
      <c r="E46" t="s">
        <v>45</v>
      </c>
      <c r="F46" s="3" t="s">
        <v>58</v>
      </c>
      <c r="G46" s="2">
        <f t="shared" si="5"/>
        <v>4.166666666666663E-2</v>
      </c>
    </row>
    <row r="47" spans="2:7" x14ac:dyDescent="0.25">
      <c r="C47" s="2">
        <v>0.75</v>
      </c>
      <c r="D47" s="2">
        <v>0.8125</v>
      </c>
      <c r="E47" t="s">
        <v>71</v>
      </c>
      <c r="F47" s="3" t="s">
        <v>59</v>
      </c>
      <c r="G47" s="2">
        <f t="shared" ref="G47:G55" si="6">IF(D47&lt;C47, D47+1, D47) - C47</f>
        <v>6.25E-2</v>
      </c>
    </row>
    <row r="48" spans="2:7" x14ac:dyDescent="0.25">
      <c r="C48" s="2">
        <v>0.96875</v>
      </c>
      <c r="D48" s="2"/>
      <c r="E48" t="s">
        <v>71</v>
      </c>
      <c r="G48" s="2">
        <f t="shared" si="6"/>
        <v>3.125E-2</v>
      </c>
    </row>
    <row r="49" spans="2:7" ht="45" x14ac:dyDescent="0.25">
      <c r="B49" s="1">
        <v>45759</v>
      </c>
      <c r="C49" s="2">
        <v>0.59097222222222223</v>
      </c>
      <c r="D49" s="2">
        <v>0.71666666666666667</v>
      </c>
      <c r="E49" t="s">
        <v>71</v>
      </c>
      <c r="F49" s="3" t="s">
        <v>60</v>
      </c>
      <c r="G49" s="2">
        <f t="shared" si="6"/>
        <v>0.12569444444444444</v>
      </c>
    </row>
    <row r="50" spans="2:7" ht="372" customHeight="1" x14ac:dyDescent="0.25">
      <c r="C50" s="2">
        <v>0.8</v>
      </c>
      <c r="D50" s="2">
        <v>9.5138888888888884E-2</v>
      </c>
      <c r="E50" t="s">
        <v>71</v>
      </c>
      <c r="F50" s="3" t="s">
        <v>61</v>
      </c>
      <c r="G50" s="2">
        <f t="shared" si="6"/>
        <v>0.29513888888888884</v>
      </c>
    </row>
    <row r="51" spans="2:7" ht="45" x14ac:dyDescent="0.25">
      <c r="B51" s="1">
        <v>45760</v>
      </c>
      <c r="C51" s="2">
        <v>0.55833333333333335</v>
      </c>
      <c r="D51" s="2">
        <v>0.77083333333333337</v>
      </c>
      <c r="E51" t="s">
        <v>68</v>
      </c>
      <c r="F51" s="3" t="s">
        <v>62</v>
      </c>
      <c r="G51" s="2">
        <f t="shared" si="6"/>
        <v>0.21250000000000002</v>
      </c>
    </row>
    <row r="52" spans="2:7" x14ac:dyDescent="0.25">
      <c r="C52" s="2">
        <v>0.7993055555555556</v>
      </c>
      <c r="D52" s="2">
        <v>0.85416666666666663</v>
      </c>
      <c r="E52" t="s">
        <v>63</v>
      </c>
      <c r="F52" s="3" t="s">
        <v>64</v>
      </c>
      <c r="G52" s="2">
        <f t="shared" si="6"/>
        <v>5.4861111111111027E-2</v>
      </c>
    </row>
    <row r="53" spans="2:7" ht="45" x14ac:dyDescent="0.25">
      <c r="C53" s="2">
        <v>0.84375</v>
      </c>
      <c r="D53" s="2">
        <v>0.875</v>
      </c>
      <c r="E53" t="s">
        <v>69</v>
      </c>
      <c r="F53" s="3" t="s">
        <v>67</v>
      </c>
      <c r="G53" s="2">
        <f t="shared" si="6"/>
        <v>3.125E-2</v>
      </c>
    </row>
    <row r="54" spans="2:7" x14ac:dyDescent="0.25">
      <c r="C54" s="2">
        <v>0.875</v>
      </c>
      <c r="D54" s="2">
        <v>0.92361111111111116</v>
      </c>
      <c r="E54" t="s">
        <v>71</v>
      </c>
      <c r="F54" s="3" t="s">
        <v>70</v>
      </c>
      <c r="G54" s="2">
        <f t="shared" si="6"/>
        <v>4.861111111111116E-2</v>
      </c>
    </row>
    <row r="55" spans="2:7" ht="45" x14ac:dyDescent="0.25">
      <c r="C55" s="2">
        <v>0.95972222222222225</v>
      </c>
      <c r="D55" s="2">
        <v>1.8749999999999999E-2</v>
      </c>
      <c r="E55" t="s">
        <v>69</v>
      </c>
      <c r="F55" s="3" t="s">
        <v>72</v>
      </c>
      <c r="G55" s="2">
        <f t="shared" si="6"/>
        <v>5.902777777777779E-2</v>
      </c>
    </row>
    <row r="56" spans="2:7" ht="45" x14ac:dyDescent="0.25">
      <c r="B56" s="1">
        <v>45761</v>
      </c>
      <c r="C56" s="2">
        <v>0.57638888888888884</v>
      </c>
      <c r="D56" s="2">
        <v>0.61736111111111114</v>
      </c>
      <c r="E56" t="s">
        <v>69</v>
      </c>
      <c r="F56" s="3" t="s">
        <v>73</v>
      </c>
      <c r="G56" s="2">
        <f t="shared" ref="G56:G65" si="7">IF(D56&lt;C56, D56+1, D56) - C56</f>
        <v>4.0972222222222299E-2</v>
      </c>
    </row>
    <row r="57" spans="2:7" ht="90" x14ac:dyDescent="0.25">
      <c r="B57" s="1"/>
      <c r="C57" s="2">
        <v>0.69513888888888886</v>
      </c>
      <c r="D57" s="2">
        <v>0.92638888888888893</v>
      </c>
      <c r="E57" t="s">
        <v>74</v>
      </c>
      <c r="F57" s="3" t="s">
        <v>75</v>
      </c>
      <c r="G57" s="2">
        <f t="shared" si="7"/>
        <v>0.23125000000000007</v>
      </c>
    </row>
    <row r="58" spans="2:7" x14ac:dyDescent="0.25">
      <c r="B58" s="1">
        <v>45762</v>
      </c>
      <c r="C58" s="2">
        <v>1.0416666666666666E-2</v>
      </c>
      <c r="D58" s="2">
        <v>5.7638888888888892E-2</v>
      </c>
      <c r="E58" t="s">
        <v>74</v>
      </c>
      <c r="G58" s="2">
        <f t="shared" si="7"/>
        <v>4.7222222222222228E-2</v>
      </c>
    </row>
    <row r="59" spans="2:7" x14ac:dyDescent="0.25">
      <c r="B59" s="1"/>
      <c r="C59" s="2">
        <v>0.6875</v>
      </c>
      <c r="D59" s="2">
        <v>0.8125</v>
      </c>
      <c r="E59" t="s">
        <v>74</v>
      </c>
      <c r="F59" s="3" t="s">
        <v>76</v>
      </c>
      <c r="G59" s="2">
        <f t="shared" si="7"/>
        <v>0.125</v>
      </c>
    </row>
    <row r="60" spans="2:7" ht="105" x14ac:dyDescent="0.25">
      <c r="B60" s="1"/>
      <c r="C60" s="2">
        <v>0.9375</v>
      </c>
      <c r="D60" s="2">
        <v>7.2916666666666671E-2</v>
      </c>
      <c r="F60" s="3" t="s">
        <v>77</v>
      </c>
      <c r="G60" s="2">
        <f t="shared" si="7"/>
        <v>0.13541666666666674</v>
      </c>
    </row>
    <row r="61" spans="2:7" ht="30" x14ac:dyDescent="0.25">
      <c r="B61" s="1">
        <v>45764</v>
      </c>
      <c r="C61" s="2">
        <v>0.91666666666666663</v>
      </c>
      <c r="D61" s="2">
        <v>1.6666666666666666E-2</v>
      </c>
      <c r="E61" t="s">
        <v>69</v>
      </c>
      <c r="F61" s="3" t="s">
        <v>78</v>
      </c>
      <c r="G61" s="2">
        <f t="shared" si="7"/>
        <v>9.9999999999999978E-2</v>
      </c>
    </row>
    <row r="62" spans="2:7" x14ac:dyDescent="0.25">
      <c r="B62" s="1">
        <v>45765</v>
      </c>
      <c r="C62" s="2">
        <v>0.86805555555555558</v>
      </c>
      <c r="D62" s="2">
        <v>1.0416666666666666E-2</v>
      </c>
      <c r="E62" t="s">
        <v>79</v>
      </c>
      <c r="F62" s="3" t="s">
        <v>80</v>
      </c>
      <c r="G62" s="2">
        <f t="shared" si="7"/>
        <v>0.14236111111111116</v>
      </c>
    </row>
    <row r="63" spans="2:7" x14ac:dyDescent="0.25">
      <c r="B63" s="1"/>
      <c r="C63" s="2"/>
      <c r="D63" s="2"/>
      <c r="E63" t="s">
        <v>74</v>
      </c>
      <c r="F63" s="3" t="s">
        <v>82</v>
      </c>
      <c r="G63" s="2">
        <f t="shared" si="7"/>
        <v>0</v>
      </c>
    </row>
    <row r="64" spans="2:7" x14ac:dyDescent="0.25">
      <c r="B64" s="1"/>
      <c r="C64" s="2"/>
      <c r="D64" s="2"/>
      <c r="E64" t="s">
        <v>45</v>
      </c>
      <c r="F64" s="3" t="s">
        <v>81</v>
      </c>
      <c r="G64" s="2">
        <f t="shared" si="7"/>
        <v>0</v>
      </c>
    </row>
    <row r="65" spans="2:7" ht="30" x14ac:dyDescent="0.25">
      <c r="B65" s="1">
        <v>45766</v>
      </c>
      <c r="C65" s="2">
        <v>0.44444444444444442</v>
      </c>
      <c r="D65" s="2">
        <v>0.60416666666666663</v>
      </c>
      <c r="E65" t="s">
        <v>45</v>
      </c>
      <c r="F65" s="3" t="s">
        <v>84</v>
      </c>
      <c r="G65" s="2">
        <f t="shared" si="7"/>
        <v>0.15972222222222221</v>
      </c>
    </row>
    <row r="66" spans="2:7" x14ac:dyDescent="0.25">
      <c r="B66" s="1"/>
      <c r="C66" s="2">
        <v>0.66666666666666663</v>
      </c>
      <c r="D66" s="2">
        <v>0.80486111111111114</v>
      </c>
      <c r="E66" t="s">
        <v>74</v>
      </c>
      <c r="F66" s="3" t="s">
        <v>85</v>
      </c>
      <c r="G66" s="2">
        <f t="shared" ref="G66:G71" si="8">IF(D66&lt;C66, D66+1, D66) - C66</f>
        <v>0.13819444444444451</v>
      </c>
    </row>
    <row r="67" spans="2:7" x14ac:dyDescent="0.25">
      <c r="B67" s="1"/>
      <c r="C67" s="2">
        <v>0.86805555555555558</v>
      </c>
      <c r="D67" s="2">
        <v>0.91666666666666663</v>
      </c>
      <c r="F67" s="3" t="s">
        <v>86</v>
      </c>
      <c r="G67" s="2">
        <f t="shared" si="8"/>
        <v>4.8611111111111049E-2</v>
      </c>
    </row>
    <row r="68" spans="2:7" x14ac:dyDescent="0.25">
      <c r="B68" s="1"/>
      <c r="C68" s="2">
        <v>0.91666666666666663</v>
      </c>
      <c r="D68" s="2">
        <v>6.9444444444444441E-3</v>
      </c>
      <c r="E68" t="s">
        <v>74</v>
      </c>
      <c r="F68" s="3" t="s">
        <v>87</v>
      </c>
      <c r="G68" s="2">
        <f t="shared" si="8"/>
        <v>9.027777777777779E-2</v>
      </c>
    </row>
    <row r="69" spans="2:7" x14ac:dyDescent="0.25">
      <c r="B69" s="1">
        <v>45767</v>
      </c>
      <c r="C69" s="2">
        <v>0.65972222222222221</v>
      </c>
      <c r="D69" s="2">
        <v>0.74513888888888891</v>
      </c>
      <c r="E69" t="s">
        <v>74</v>
      </c>
      <c r="F69" s="3" t="s">
        <v>89</v>
      </c>
      <c r="G69" s="2">
        <f t="shared" si="8"/>
        <v>8.5416666666666696E-2</v>
      </c>
    </row>
    <row r="70" spans="2:7" ht="60" x14ac:dyDescent="0.25">
      <c r="B70" s="1"/>
      <c r="C70" s="2">
        <v>0.89652777777777781</v>
      </c>
      <c r="D70" s="2">
        <v>0.12430555555555556</v>
      </c>
      <c r="E70" t="s">
        <v>88</v>
      </c>
      <c r="F70" s="3" t="s">
        <v>90</v>
      </c>
      <c r="G70" s="2">
        <f t="shared" si="8"/>
        <v>0.22777777777777763</v>
      </c>
    </row>
    <row r="71" spans="2:7" x14ac:dyDescent="0.25">
      <c r="B71" s="1">
        <v>45768</v>
      </c>
      <c r="C71" s="2">
        <v>0.40972222222222221</v>
      </c>
      <c r="D71" s="2"/>
      <c r="E71" t="s">
        <v>88</v>
      </c>
      <c r="F71" s="3" t="s">
        <v>91</v>
      </c>
      <c r="G71" s="2">
        <f t="shared" si="8"/>
        <v>0.59027777777777779</v>
      </c>
    </row>
    <row r="72" spans="2:7" x14ac:dyDescent="0.25">
      <c r="B72" s="1"/>
      <c r="C72" s="2"/>
      <c r="D72" s="2"/>
      <c r="E72" t="s">
        <v>71</v>
      </c>
      <c r="F72" s="3" t="s">
        <v>94</v>
      </c>
      <c r="G72" s="2">
        <f t="shared" ref="G72:G77" si="9">IF(D72&lt;C72, D72+1, D72) - C72</f>
        <v>0</v>
      </c>
    </row>
    <row r="73" spans="2:7" x14ac:dyDescent="0.25">
      <c r="B73" s="1">
        <v>45769</v>
      </c>
      <c r="C73" s="2">
        <v>0.64583333333333337</v>
      </c>
      <c r="D73" s="2">
        <v>0.93333333333333335</v>
      </c>
      <c r="E73" t="s">
        <v>74</v>
      </c>
      <c r="F73" s="3" t="s">
        <v>92</v>
      </c>
      <c r="G73" s="2">
        <f t="shared" si="9"/>
        <v>0.28749999999999998</v>
      </c>
    </row>
    <row r="74" spans="2:7" x14ac:dyDescent="0.25">
      <c r="C74" s="2">
        <v>0.97916666666666663</v>
      </c>
      <c r="D74" s="2">
        <v>6.8750000000000006E-2</v>
      </c>
      <c r="E74" t="s">
        <v>74</v>
      </c>
      <c r="F74" s="3" t="s">
        <v>92</v>
      </c>
      <c r="G74" s="2">
        <f t="shared" si="9"/>
        <v>8.9583333333333459E-2</v>
      </c>
    </row>
    <row r="75" spans="2:7" ht="45" x14ac:dyDescent="0.25">
      <c r="B75" s="1">
        <v>45770</v>
      </c>
      <c r="C75" s="2">
        <v>0.63888888888888884</v>
      </c>
      <c r="D75" s="2">
        <v>0.81944444444444442</v>
      </c>
      <c r="E75" t="s">
        <v>74</v>
      </c>
      <c r="F75" s="3" t="s">
        <v>93</v>
      </c>
      <c r="G75" s="2">
        <f t="shared" si="9"/>
        <v>0.18055555555555558</v>
      </c>
    </row>
    <row r="76" spans="2:7" ht="30" x14ac:dyDescent="0.25">
      <c r="C76" s="2">
        <v>0.9375</v>
      </c>
      <c r="D76" s="2">
        <v>0.97916666666666663</v>
      </c>
      <c r="E76" t="s">
        <v>74</v>
      </c>
      <c r="F76" s="3" t="s">
        <v>95</v>
      </c>
      <c r="G76" s="2">
        <f t="shared" si="9"/>
        <v>4.166666666666663E-2</v>
      </c>
    </row>
    <row r="77" spans="2:7" x14ac:dyDescent="0.25">
      <c r="B77" s="1">
        <v>45772</v>
      </c>
      <c r="C77" s="2">
        <v>0.85833333333333328</v>
      </c>
      <c r="D77" s="2">
        <v>0.95833333333333337</v>
      </c>
      <c r="E77" t="s">
        <v>74</v>
      </c>
      <c r="F77" s="3" t="s">
        <v>96</v>
      </c>
      <c r="G77" s="2">
        <f t="shared" si="9"/>
        <v>0.10000000000000009</v>
      </c>
    </row>
    <row r="78" spans="2:7" x14ac:dyDescent="0.25">
      <c r="B78" s="1">
        <v>45773</v>
      </c>
      <c r="C78" s="2">
        <v>0.45833333333333331</v>
      </c>
      <c r="D78" s="2">
        <v>0.59861111111111109</v>
      </c>
      <c r="E78" t="s">
        <v>74</v>
      </c>
      <c r="F78" s="3" t="s">
        <v>97</v>
      </c>
      <c r="G78" s="2">
        <f>IF(D78&lt;C78, D78+1, D78) - C78</f>
        <v>0.14027777777777778</v>
      </c>
    </row>
    <row r="79" spans="2:7" x14ac:dyDescent="0.25">
      <c r="C79" s="2"/>
      <c r="F79" s="3" t="s">
        <v>98</v>
      </c>
      <c r="G79" s="2">
        <f>IF(D79&lt;C79, D79+1, D79) - C79</f>
        <v>0</v>
      </c>
    </row>
    <row r="81" spans="6:6" x14ac:dyDescent="0.25">
      <c r="F81" s="8" t="s">
        <v>43</v>
      </c>
    </row>
    <row r="82" spans="6:6" x14ac:dyDescent="0.25">
      <c r="F82" s="9" t="s">
        <v>42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026B-8D30-4100-A805-D11CB8F29CB9}">
  <dimension ref="A1:A3"/>
  <sheetViews>
    <sheetView workbookViewId="0">
      <selection activeCell="A4" sqref="A4"/>
    </sheetView>
  </sheetViews>
  <sheetFormatPr defaultRowHeight="15" x14ac:dyDescent="0.25"/>
  <sheetData>
    <row r="1" spans="1:1" x14ac:dyDescent="0.25">
      <c r="A1" t="s">
        <v>65</v>
      </c>
    </row>
    <row r="2" spans="1:1" x14ac:dyDescent="0.25">
      <c r="A2" t="s">
        <v>66</v>
      </c>
    </row>
    <row r="3" spans="1:1" x14ac:dyDescent="0.25">
      <c r="A3"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A223-2407-4505-BAD0-756DF8AFB831}">
  <dimension ref="A1:I32"/>
  <sheetViews>
    <sheetView topLeftCell="A2" workbookViewId="0">
      <selection activeCell="K12" sqref="K12"/>
    </sheetView>
  </sheetViews>
  <sheetFormatPr defaultRowHeight="15" x14ac:dyDescent="0.25"/>
  <cols>
    <col min="2" max="2" width="10.42578125" bestFit="1" customWidth="1"/>
    <col min="3" max="4" width="10.42578125" customWidth="1"/>
    <col min="5" max="5" width="17.85546875" bestFit="1" customWidth="1"/>
    <col min="6" max="6" width="47.42578125" style="3" customWidth="1"/>
  </cols>
  <sheetData>
    <row r="1" spans="1:9" s="4" customFormat="1" ht="26.25" x14ac:dyDescent="0.4">
      <c r="A1" s="4" t="s">
        <v>37</v>
      </c>
      <c r="F1" s="5"/>
    </row>
    <row r="2" spans="1:9" s="4" customFormat="1" ht="26.25" x14ac:dyDescent="0.4">
      <c r="A2" s="6" t="s">
        <v>8</v>
      </c>
      <c r="F2" s="5"/>
    </row>
    <row r="4" spans="1:9" x14ac:dyDescent="0.25">
      <c r="C4" t="s">
        <v>11</v>
      </c>
      <c r="D4" s="7">
        <f>SUM(G7:G41)</f>
        <v>0.10486111111111113</v>
      </c>
      <c r="I4" s="2"/>
    </row>
    <row r="5" spans="1:9" x14ac:dyDescent="0.25">
      <c r="I5" s="2"/>
    </row>
    <row r="6" spans="1:9" x14ac:dyDescent="0.25">
      <c r="B6" t="s">
        <v>6</v>
      </c>
      <c r="C6" t="s">
        <v>3</v>
      </c>
      <c r="D6" t="s">
        <v>4</v>
      </c>
      <c r="E6" t="s">
        <v>5</v>
      </c>
      <c r="F6" s="3" t="s">
        <v>7</v>
      </c>
      <c r="G6" t="s">
        <v>12</v>
      </c>
      <c r="I6" s="2"/>
    </row>
    <row r="7" spans="1:9" ht="60" x14ac:dyDescent="0.25">
      <c r="B7" s="1">
        <v>45753</v>
      </c>
      <c r="C7" s="2">
        <v>0.45833333333333331</v>
      </c>
      <c r="D7" s="2">
        <v>0.56319444444444444</v>
      </c>
      <c r="E7" t="s">
        <v>38</v>
      </c>
      <c r="F7" s="3" t="s">
        <v>39</v>
      </c>
      <c r="G7" s="2">
        <f t="shared" ref="G7" si="0">IF(D7&lt;C7, D7+1, D7) - C7</f>
        <v>0.10486111111111113</v>
      </c>
      <c r="I7" s="2"/>
    </row>
    <row r="8" spans="1:9" x14ac:dyDescent="0.25">
      <c r="C8" s="2"/>
      <c r="D8" s="2"/>
      <c r="G8" s="2"/>
      <c r="I8" s="2"/>
    </row>
    <row r="9" spans="1:9" x14ac:dyDescent="0.25">
      <c r="B9" s="1"/>
      <c r="C9" s="2"/>
      <c r="D9" s="2"/>
      <c r="G9" s="2"/>
      <c r="I9" s="2"/>
    </row>
    <row r="10" spans="1:9" x14ac:dyDescent="0.25">
      <c r="C10" s="2"/>
      <c r="D10" s="2"/>
      <c r="G10" s="2"/>
      <c r="I10" s="2"/>
    </row>
    <row r="11" spans="1:9" x14ac:dyDescent="0.25">
      <c r="C11" s="2"/>
      <c r="D11" s="2"/>
      <c r="G11" s="2"/>
    </row>
    <row r="12" spans="1:9" x14ac:dyDescent="0.25">
      <c r="B12" s="1"/>
      <c r="C12" s="2"/>
      <c r="D12" s="2"/>
      <c r="G12" s="2"/>
    </row>
    <row r="13" spans="1:9" x14ac:dyDescent="0.25">
      <c r="C13" s="2"/>
      <c r="D13" s="2"/>
      <c r="G13" s="2"/>
    </row>
    <row r="14" spans="1:9" x14ac:dyDescent="0.25">
      <c r="B14" s="1"/>
      <c r="C14" s="2"/>
      <c r="D14" s="2"/>
      <c r="G14" s="2"/>
    </row>
    <row r="15" spans="1:9" x14ac:dyDescent="0.25">
      <c r="C15" s="2"/>
      <c r="D15" s="2"/>
      <c r="G15" s="2"/>
    </row>
    <row r="16" spans="1:9" x14ac:dyDescent="0.25">
      <c r="B16" s="1"/>
      <c r="C16" s="2"/>
      <c r="D16" s="2"/>
      <c r="G16" s="2"/>
    </row>
    <row r="17" spans="2:7" x14ac:dyDescent="0.25">
      <c r="B17" s="1"/>
      <c r="C17" s="2"/>
      <c r="D17" s="2"/>
      <c r="G17" s="2"/>
    </row>
    <row r="18" spans="2:7" x14ac:dyDescent="0.25">
      <c r="B18" s="1"/>
      <c r="C18" s="2"/>
      <c r="D18" s="2"/>
      <c r="G18" s="2"/>
    </row>
    <row r="19" spans="2:7" x14ac:dyDescent="0.25">
      <c r="B19" s="1"/>
      <c r="C19" s="2"/>
      <c r="D19" s="2"/>
      <c r="G19" s="2"/>
    </row>
    <row r="20" spans="2:7" x14ac:dyDescent="0.25">
      <c r="B20" s="1"/>
      <c r="C20" s="2"/>
      <c r="D20" s="2"/>
      <c r="G20" s="2"/>
    </row>
    <row r="21" spans="2:7" x14ac:dyDescent="0.25">
      <c r="C21" s="2"/>
      <c r="D21" s="2"/>
      <c r="G21" s="2"/>
    </row>
    <row r="22" spans="2:7" x14ac:dyDescent="0.25">
      <c r="B22" s="1"/>
      <c r="C22" s="2"/>
      <c r="D22" s="2"/>
      <c r="G22" s="2"/>
    </row>
    <row r="23" spans="2:7" x14ac:dyDescent="0.25">
      <c r="C23" s="2"/>
      <c r="D23" s="2"/>
      <c r="G23" s="2"/>
    </row>
    <row r="24" spans="2:7" x14ac:dyDescent="0.25">
      <c r="B24" s="1"/>
      <c r="C24" s="2"/>
      <c r="D24" s="2"/>
      <c r="G24" s="2"/>
    </row>
    <row r="25" spans="2:7" x14ac:dyDescent="0.25">
      <c r="C25" s="2"/>
      <c r="D25" s="2"/>
      <c r="G25" s="2"/>
    </row>
    <row r="26" spans="2:7" x14ac:dyDescent="0.25">
      <c r="C26" s="2"/>
      <c r="D26" s="2"/>
      <c r="G26" s="2"/>
    </row>
    <row r="27" spans="2:7" x14ac:dyDescent="0.25">
      <c r="C27" s="2"/>
      <c r="D27" s="2"/>
      <c r="G27" s="2"/>
    </row>
    <row r="28" spans="2:7" x14ac:dyDescent="0.25">
      <c r="B28" s="1"/>
      <c r="C28" s="2"/>
      <c r="D28" s="2"/>
      <c r="G28" s="2"/>
    </row>
    <row r="29" spans="2:7" x14ac:dyDescent="0.25">
      <c r="B29" s="1"/>
      <c r="C29" s="2"/>
      <c r="D29" s="2"/>
      <c r="G29" s="2"/>
    </row>
    <row r="30" spans="2:7" x14ac:dyDescent="0.25">
      <c r="B30" s="1"/>
      <c r="C30" s="2"/>
      <c r="D30" s="2"/>
      <c r="G30" s="2"/>
    </row>
    <row r="31" spans="2:7" x14ac:dyDescent="0.25">
      <c r="C31" s="2"/>
      <c r="D31" s="2"/>
      <c r="G31" s="2"/>
    </row>
    <row r="32" spans="2:7" x14ac:dyDescent="0.25">
      <c r="B32" s="1"/>
      <c r="C32" s="2"/>
      <c r="D32" s="2"/>
      <c r="G32"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AB43-9BF7-46C1-BE2D-33751923E718}">
  <dimension ref="A1:H11"/>
  <sheetViews>
    <sheetView topLeftCell="A2" workbookViewId="0">
      <selection activeCell="B8" sqref="B8"/>
    </sheetView>
  </sheetViews>
  <sheetFormatPr defaultRowHeight="15" x14ac:dyDescent="0.25"/>
  <cols>
    <col min="1" max="1" width="10.42578125" bestFit="1" customWidth="1"/>
    <col min="2" max="3" width="10.42578125" customWidth="1"/>
    <col min="4" max="4" width="17.85546875" bestFit="1" customWidth="1"/>
    <col min="5" max="5" width="47.42578125" style="3" customWidth="1"/>
  </cols>
  <sheetData>
    <row r="1" spans="1:8" s="4" customFormat="1" ht="26.25" x14ac:dyDescent="0.4">
      <c r="A1" s="4" t="s">
        <v>14</v>
      </c>
      <c r="E1" s="5"/>
    </row>
    <row r="2" spans="1:8" s="4" customFormat="1" ht="26.25" x14ac:dyDescent="0.4">
      <c r="A2" s="6" t="s">
        <v>15</v>
      </c>
      <c r="E2" s="5"/>
    </row>
    <row r="4" spans="1:8" x14ac:dyDescent="0.25">
      <c r="B4" t="s">
        <v>11</v>
      </c>
      <c r="C4" s="2">
        <f>SUM(F7:F37)</f>
        <v>2.083333333333337E-2</v>
      </c>
      <c r="H4" s="2"/>
    </row>
    <row r="5" spans="1:8" x14ac:dyDescent="0.25">
      <c r="H5" s="2"/>
    </row>
    <row r="6" spans="1:8" x14ac:dyDescent="0.25">
      <c r="A6" t="s">
        <v>6</v>
      </c>
      <c r="B6" t="s">
        <v>3</v>
      </c>
      <c r="C6" t="s">
        <v>4</v>
      </c>
      <c r="D6" t="s">
        <v>5</v>
      </c>
      <c r="E6" s="3" t="s">
        <v>7</v>
      </c>
      <c r="F6" t="s">
        <v>12</v>
      </c>
      <c r="H6" s="2"/>
    </row>
    <row r="7" spans="1:8" ht="120" x14ac:dyDescent="0.25">
      <c r="A7" s="1">
        <v>45740</v>
      </c>
      <c r="B7" s="2">
        <v>0.91666666666666663</v>
      </c>
      <c r="C7" s="2">
        <v>0.9375</v>
      </c>
      <c r="D7" s="3" t="s">
        <v>17</v>
      </c>
      <c r="E7" s="3" t="s">
        <v>18</v>
      </c>
      <c r="F7" s="2">
        <f t="shared" ref="F7:F11" si="0">IF(C7&lt;B7, C7+1, C7) - B7</f>
        <v>2.083333333333337E-2</v>
      </c>
      <c r="H7" s="2"/>
    </row>
    <row r="8" spans="1:8" x14ac:dyDescent="0.25">
      <c r="B8" s="2"/>
      <c r="C8" s="2"/>
      <c r="F8" s="2">
        <f t="shared" si="0"/>
        <v>0</v>
      </c>
      <c r="H8" s="2"/>
    </row>
    <row r="9" spans="1:8" x14ac:dyDescent="0.25">
      <c r="A9" s="1"/>
      <c r="B9" s="2"/>
      <c r="C9" s="2"/>
      <c r="F9" s="2">
        <f t="shared" si="0"/>
        <v>0</v>
      </c>
      <c r="H9" s="2"/>
    </row>
    <row r="10" spans="1:8" x14ac:dyDescent="0.25">
      <c r="B10" s="2"/>
      <c r="C10" s="2"/>
      <c r="F10" s="2">
        <f t="shared" si="0"/>
        <v>0</v>
      </c>
      <c r="H10" s="2"/>
    </row>
    <row r="11" spans="1:8" x14ac:dyDescent="0.25">
      <c r="B11" s="2"/>
      <c r="C11" s="2"/>
      <c r="F11" s="2">
        <f t="shared" si="0"/>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Smash Dungeon</vt:lpstr>
      <vt:lpstr>Name Ideas</vt:lpstr>
      <vt:lpstr>Card Combiner</vt:lpstr>
      <vt:lpstr>Godot Learning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SCARBOROUGH 18013919</dc:creator>
  <cp:lastModifiedBy>ADAM SCARBOROUGH 18013919</cp:lastModifiedBy>
  <dcterms:created xsi:type="dcterms:W3CDTF">2025-03-23T01:50:40Z</dcterms:created>
  <dcterms:modified xsi:type="dcterms:W3CDTF">2025-04-26T19:22:42Z</dcterms:modified>
</cp:coreProperties>
</file>