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0C66B25-29C2-4977-8A44-9FAD01356CEB}"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0" i="1" l="1"/>
  <c r="G79" i="1"/>
  <c r="G78" i="1"/>
  <c r="G77" i="1"/>
  <c r="G72" i="1"/>
  <c r="G76" i="1"/>
  <c r="G75" i="1"/>
  <c r="G74" i="1"/>
  <c r="G73" i="1"/>
  <c r="G71" i="1"/>
  <c r="G70" i="1"/>
  <c r="G69" i="1"/>
  <c r="G68" i="1"/>
  <c r="G67" i="1"/>
  <c r="G66" i="1"/>
  <c r="G65" i="1"/>
  <c r="G64" i="1"/>
  <c r="G63" i="1"/>
  <c r="G62" i="1"/>
  <c r="G61" i="1"/>
  <c r="G60" i="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<sst xmlns="http://schemas.openxmlformats.org/spreadsheetml/2006/main" count="180" uniqueCount="104">
  <si>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</si>
  <si>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</si>
  <si>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</si>
  <si>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</si>
  <si>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</si>
  <si>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</si>
  <si>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</si>
  <si>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</si>
  <si>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</si>
  <si>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</si>
  <si>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</si>
  <si>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</si>
  <si>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</si>
  <si>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</si>
  <si>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</si>
  <si>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</si>
  <si>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</si>
  <si>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</si>
  <si>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</si>
  <si>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</si>
  <si>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</si>
  <si>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</si>
  <si>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</si>
  <si>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</si>
  <si>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</si>
  <si>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</si>
  <si>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</si>
  <si>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</si>
  <si>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</si>
  <si>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</si>
  <si>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</si>
  <si>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</si>
  <si>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</si>
  <si>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</si>
  <si>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</si>
  <si>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</si>
  <si>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</si>
  <si>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</si>
  <si>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</si>
  <si>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</si>
  <si>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</si>
  <si>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</si>
  <si>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</si>
  <si>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</si>
  <si>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</si>
  <si>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</si>
  <si>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</si>
  <si>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</si>
  <si>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</si>
  <si>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</si>
  <si>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</si>
  <si>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</si>
  <si>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</si>
  <si>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</si>
  <si>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</si>
  <si>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</si>
  <si>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</si>
  <si>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</si>
  <si>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</si>
  <si>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</si>
  <si>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</si>
  <si>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</si>
  <si>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</si>
  <si>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</si>
  <si>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</si>
  <si>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</si>
  <si>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</si>
  <si>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</si>
  <si>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</si>
  <si>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</si>
  <si>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</si>
  <si>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</si>
  <si>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</si>
  <si>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</si>
  <si>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</si>
  <si>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</si>
  <si>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</si>
  <si>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
- procedural spider
- procedural spider 3d
- carrion beast</t>
  </si>
  <si>
    <t>Trying to fix hitboxes for pull blade and blast hammer</t>
  </si>
  <si>
    <t>Bug fix</t>
  </si>
  <si>
    <t>Fixed hitboxes for pull blade and blast hammer</t>
  </si>
  <si>
    <t>Centralised collisions for weapons</t>
  </si>
  <si>
    <t>Creating a new enemy</t>
  </si>
  <si>
    <t>Descendom</t>
  </si>
  <si>
    <t>Fixing projectile collisions
- Fixing dagger</t>
  </si>
  <si>
    <t>Creating enemy navigation system</t>
  </si>
  <si>
    <t>Fixed enemy navigation</t>
  </si>
  <si>
    <t>Began refactoring enemy system</t>
  </si>
  <si>
    <t>Enemies</t>
  </si>
  <si>
    <t>Finished first refactoring of enemy system</t>
  </si>
  <si>
    <t>Added Fodder enemy
- added zap fodder enemy
- created centralised weapon system for enemies to prevent references spread out across enemy script</t>
  </si>
  <si>
    <t>Adding weapon system to remaining enemies</t>
  </si>
  <si>
    <t>Crawling enemy - component system</t>
  </si>
  <si>
    <t>Gave up on crawling enemy
- component system unwiedly and couldn't produce the desired functionality</t>
  </si>
  <si>
    <t>Added procedural arena creations</t>
  </si>
  <si>
    <t>Decided to return to save after prcedural arena system</t>
  </si>
  <si>
    <t>Began refactoring to State Machine system</t>
  </si>
  <si>
    <t>Continuing to trouble shoot fodder_enemy_sm</t>
  </si>
  <si>
    <t>Blog post</t>
  </si>
  <si>
    <t>Column1</t>
  </si>
  <si>
    <t>blogpost</t>
  </si>
  <si>
    <t>Column3</t>
  </si>
  <si>
    <t>Creating Config states for state machine
allows better inspector</t>
  </si>
  <si>
    <t>Refactoring state machines
- mixup with state machines and enum enemy system, parameters are spread across different parts of the inspector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</si>
</sst>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4" x14ac:knownFonts="1">
    <font>
      <sz val="11"/>
      <color theme="1"/>
      <name val="Aptos Narrow"/>
      <family val="2"/>
      <scheme val="minor"/>
    </font>
    <font>
      <sz val="20"/>
      <color theme="1"/>
      <name val="Aptos Narrow"/>
      <family val="2"/>
      <scheme val="minor"/>
    </font>
    <font>
      <sz val="16"/>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I80" totalsRowShown="0">
  <autoFilter ref="B6:I80" xr:uid="{B1FBB0C8-47CA-4FE8-A951-187DAAFDBA3A}"/>
  <tableColumns count="8">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 id="7" xr3:uid="{5CA719F1-B591-4990-9610-6CFCA1E1664C}" name="Column1"/>
    <tableColumn id="9" xr3:uid="{0376A738-C71D-4C5D-BB07-AEAE10033BBB}" name="Column3"/>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97"/>
  <sheetViews>
    <sheetView tabSelected="1" topLeftCell="A68" workbookViewId="0">
      <selection activeCell="D80" sqref="D8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SUM(G7:G80)</f>
        <v>8.5243055555555554</v>
      </c>
    </row>
    <row r="6" spans="1:9" x14ac:dyDescent="0.25">
      <c r="B6" t="s">
        <v>6</v>
      </c>
      <c r="C6" t="s">
        <v>3</v>
      </c>
      <c r="D6" t="s">
        <v>4</v>
      </c>
      <c r="E6" t="s">
        <v>5</v>
      </c>
      <c r="F6" s="3" t="s">
        <v>7</v>
      </c>
      <c r="G6" t="s">
        <v>12</v>
      </c>
      <c r="H6" t="s">
        <v>99</v>
      </c>
      <c r="I6" t="s">
        <v>101</v>
      </c>
    </row>
    <row r="7" spans="1:9" ht="30" x14ac:dyDescent="0.25">
      <c r="B7" s="1">
        <v>45738</v>
      </c>
      <c r="C7" s="2">
        <v>0.625</v>
      </c>
      <c r="D7" s="2">
        <v>0.77430555555555558</v>
      </c>
      <c r="E7" t="s">
        <v>1</v>
      </c>
      <c r="F7" s="3" t="s">
        <v>2</v>
      </c>
      <c r="G7" s="2">
        <f t="shared" ref="G7:G11" si="0">IF(D7&lt;C7, D7+1, D7) - C7</f>
        <v>0.14930555555555558</v>
      </c>
    </row>
    <row r="8" spans="1:9" x14ac:dyDescent="0.25">
      <c r="C8" s="2">
        <v>0.87013888888888891</v>
      </c>
      <c r="D8" s="2">
        <v>4.1666666666666664E-2</v>
      </c>
      <c r="G8" s="2">
        <f t="shared" si="0"/>
        <v>0.17152777777777783</v>
      </c>
    </row>
    <row r="9" spans="1:9" ht="30" x14ac:dyDescent="0.25">
      <c r="B9" s="1">
        <v>45739</v>
      </c>
      <c r="C9" s="2">
        <v>0.5</v>
      </c>
      <c r="D9" s="2">
        <v>0.5625</v>
      </c>
      <c r="E9" t="s">
        <v>1</v>
      </c>
      <c r="F9" s="3" t="s">
        <v>9</v>
      </c>
      <c r="G9" s="2">
        <f t="shared" si="0"/>
        <v>6.25E-2</v>
      </c>
    </row>
    <row r="10" spans="1:9" ht="105" x14ac:dyDescent="0.25">
      <c r="C10" s="2">
        <v>0.79166666666666663</v>
      </c>
      <c r="D10" s="2">
        <v>0.88472222222222219</v>
      </c>
      <c r="E10" t="s">
        <v>1</v>
      </c>
      <c r="F10" s="3" t="s">
        <v>10</v>
      </c>
      <c r="G10" s="2">
        <f t="shared" si="0"/>
        <v>9.3055555555555558E-2</v>
      </c>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9" x14ac:dyDescent="0.25">
      <c r="B17" s="1">
        <v>45744</v>
      </c>
      <c r="C17" s="2">
        <v>0.79166666666666663</v>
      </c>
      <c r="D17" s="2">
        <v>4.1666666666666664E-2</v>
      </c>
      <c r="E17" t="s">
        <v>1</v>
      </c>
      <c r="F17" s="3" t="s">
        <v>23</v>
      </c>
      <c r="G17" s="2">
        <f t="shared" ref="G17:G20" si="1">IF(D17&lt;C17, D17+1, D17) - C17</f>
        <v>0.25000000000000011</v>
      </c>
    </row>
    <row r="18" spans="2:9" x14ac:dyDescent="0.25">
      <c r="B18" s="1">
        <v>45745</v>
      </c>
      <c r="C18" s="2">
        <v>0.45833333333333331</v>
      </c>
      <c r="D18" s="2">
        <v>0.52083333333333337</v>
      </c>
      <c r="E18" t="s">
        <v>1</v>
      </c>
      <c r="F18" s="3" t="s">
        <v>23</v>
      </c>
      <c r="G18" s="2">
        <f t="shared" si="1"/>
        <v>6.2500000000000056E-2</v>
      </c>
    </row>
    <row r="19" spans="2:9" ht="60" x14ac:dyDescent="0.25">
      <c r="B19" s="1"/>
      <c r="C19" s="2">
        <v>0.625</v>
      </c>
      <c r="D19" s="2">
        <v>0.79166666666666663</v>
      </c>
      <c r="E19" t="s">
        <v>1</v>
      </c>
      <c r="F19" s="3" t="s">
        <v>24</v>
      </c>
      <c r="G19" s="2">
        <f t="shared" si="1"/>
        <v>0.16666666666666663</v>
      </c>
    </row>
    <row r="20" spans="2:9" x14ac:dyDescent="0.25">
      <c r="B20" s="1"/>
      <c r="C20" s="2">
        <v>0.875</v>
      </c>
      <c r="D20" s="2">
        <v>0.4375</v>
      </c>
      <c r="F20" s="3" t="s">
        <v>25</v>
      </c>
      <c r="G20" s="2">
        <f t="shared" si="1"/>
        <v>0.5625</v>
      </c>
    </row>
    <row r="21" spans="2:9" x14ac:dyDescent="0.25">
      <c r="C21" s="2">
        <v>0.98958333333333337</v>
      </c>
      <c r="D21" s="2">
        <v>4.1666666666666664E-2</v>
      </c>
      <c r="F21" s="3" t="s">
        <v>25</v>
      </c>
      <c r="G21" s="2">
        <f t="shared" ref="G21:G27" si="2">IF(D21&lt;C21, D21+1, D21) - C21</f>
        <v>5.208333333333337E-2</v>
      </c>
    </row>
    <row r="22" spans="2:9" ht="75" x14ac:dyDescent="0.25">
      <c r="B22" s="1">
        <v>45746</v>
      </c>
      <c r="C22" s="2">
        <v>0.5</v>
      </c>
      <c r="D22" s="2">
        <v>0.61388888888888893</v>
      </c>
      <c r="E22" t="s">
        <v>1</v>
      </c>
      <c r="F22" s="3" t="s">
        <v>26</v>
      </c>
      <c r="G22" s="2">
        <f t="shared" si="2"/>
        <v>0.11388888888888893</v>
      </c>
    </row>
    <row r="23" spans="2:9" ht="30" x14ac:dyDescent="0.25">
      <c r="C23" s="2">
        <v>0.79166666666666663</v>
      </c>
      <c r="D23" s="2">
        <v>0.85763888888888884</v>
      </c>
      <c r="F23" s="3" t="s">
        <v>27</v>
      </c>
      <c r="G23" s="2">
        <f t="shared" si="2"/>
        <v>6.597222222222221E-2</v>
      </c>
    </row>
    <row r="24" spans="2:9" ht="75" x14ac:dyDescent="0.25">
      <c r="B24" s="1">
        <v>45747</v>
      </c>
      <c r="C24" s="2">
        <v>0.57291666666666663</v>
      </c>
      <c r="D24" s="2">
        <v>0.66666666666666663</v>
      </c>
      <c r="E24" t="s">
        <v>1</v>
      </c>
      <c r="F24" s="3" t="s">
        <v>28</v>
      </c>
      <c r="G24" s="2">
        <f t="shared" si="2"/>
        <v>9.375E-2</v>
      </c>
      <c r="I24" t="s">
        <v>100</v>
      </c>
    </row>
    <row r="25" spans="2:9" ht="60" x14ac:dyDescent="0.25">
      <c r="C25" s="2">
        <v>0.75902777777777775</v>
      </c>
      <c r="D25" s="2">
        <v>0.79027777777777775</v>
      </c>
      <c r="E25" t="s">
        <v>1</v>
      </c>
      <c r="F25" s="3" t="s">
        <v>29</v>
      </c>
      <c r="G25" s="2">
        <f t="shared" si="2"/>
        <v>3.125E-2</v>
      </c>
    </row>
    <row r="26" spans="2:9" ht="45" x14ac:dyDescent="0.25">
      <c r="C26" s="2">
        <v>0.89583333333333337</v>
      </c>
      <c r="D26" s="2">
        <v>0.98263888888888884</v>
      </c>
      <c r="E26" t="s">
        <v>1</v>
      </c>
      <c r="F26" s="3" t="s">
        <v>30</v>
      </c>
      <c r="G26" s="2">
        <f t="shared" si="2"/>
        <v>8.6805555555555469E-2</v>
      </c>
    </row>
    <row r="27" spans="2:9" ht="45" x14ac:dyDescent="0.25">
      <c r="C27" s="2">
        <v>3.472222222222222E-3</v>
      </c>
      <c r="D27" s="2">
        <v>3.4722222222222224E-2</v>
      </c>
      <c r="E27" t="s">
        <v>1</v>
      </c>
      <c r="F27" s="3" t="s">
        <v>31</v>
      </c>
      <c r="G27" s="2">
        <f t="shared" si="2"/>
        <v>3.125E-2</v>
      </c>
    </row>
    <row r="28" spans="2:9" x14ac:dyDescent="0.25">
      <c r="B28" s="1">
        <v>45749</v>
      </c>
      <c r="C28" s="2">
        <v>0.95833333333333337</v>
      </c>
      <c r="D28" s="2">
        <v>0.99305555555555558</v>
      </c>
      <c r="E28" t="s">
        <v>1</v>
      </c>
      <c r="F28" s="3" t="s">
        <v>32</v>
      </c>
      <c r="G28" s="2">
        <f t="shared" ref="G28:G33" si="3">IF(D28&lt;C28, D28+1, D28) - C28</f>
        <v>3.472222222222221E-2</v>
      </c>
    </row>
    <row r="29" spans="2:9" ht="120" x14ac:dyDescent="0.25">
      <c r="B29" s="1">
        <v>45750</v>
      </c>
      <c r="C29" s="2">
        <v>0.96180555555555558</v>
      </c>
      <c r="D29" s="2">
        <v>3.7499999999999999E-2</v>
      </c>
      <c r="E29" t="s">
        <v>1</v>
      </c>
      <c r="F29" s="3" t="s">
        <v>34</v>
      </c>
      <c r="G29" s="2">
        <f t="shared" si="3"/>
        <v>7.5694444444444509E-2</v>
      </c>
    </row>
    <row r="30" spans="2:9" ht="30" x14ac:dyDescent="0.25">
      <c r="B30" s="1">
        <v>45751</v>
      </c>
      <c r="C30" s="2">
        <v>0.6875</v>
      </c>
      <c r="D30" s="2">
        <v>0.72569444444444442</v>
      </c>
      <c r="E30" t="s">
        <v>1</v>
      </c>
      <c r="F30" s="3" t="s">
        <v>33</v>
      </c>
      <c r="G30" s="2">
        <f t="shared" si="3"/>
        <v>3.819444444444442E-2</v>
      </c>
    </row>
    <row r="31" spans="2:9" ht="75" x14ac:dyDescent="0.25">
      <c r="C31" s="2">
        <v>0.88124999999999998</v>
      </c>
      <c r="D31" s="2">
        <v>0.91180555555555554</v>
      </c>
      <c r="E31" t="s">
        <v>1</v>
      </c>
      <c r="F31" s="3" t="s">
        <v>35</v>
      </c>
      <c r="G31" s="2">
        <f t="shared" si="3"/>
        <v>3.0555555555555558E-2</v>
      </c>
    </row>
    <row r="32" spans="2:9" x14ac:dyDescent="0.25">
      <c r="B32" s="1">
        <v>45752</v>
      </c>
      <c r="C32" s="2">
        <v>0.625</v>
      </c>
      <c r="D32" s="2">
        <v>0.82291666666666663</v>
      </c>
      <c r="E32" t="s">
        <v>1</v>
      </c>
      <c r="F32" s="3" t="s">
        <v>36</v>
      </c>
      <c r="G32" s="2">
        <f t="shared" si="3"/>
        <v>0.19791666666666663</v>
      </c>
    </row>
    <row r="33" spans="2:9" ht="45" x14ac:dyDescent="0.25">
      <c r="B33" s="1">
        <v>45753</v>
      </c>
      <c r="C33" s="2">
        <v>0.6791666666666667</v>
      </c>
      <c r="D33" s="2">
        <v>0.71666666666666667</v>
      </c>
      <c r="E33" t="s">
        <v>1</v>
      </c>
      <c r="F33" s="3" t="s">
        <v>40</v>
      </c>
      <c r="G33" s="2">
        <f t="shared" si="3"/>
        <v>3.7499999999999978E-2</v>
      </c>
    </row>
    <row r="34" spans="2:9" ht="60" x14ac:dyDescent="0.25">
      <c r="C34" s="2">
        <v>0.89722222222222225</v>
      </c>
      <c r="D34" s="2">
        <v>0.95833333333333337</v>
      </c>
      <c r="E34" t="s">
        <v>1</v>
      </c>
      <c r="F34" s="3" t="s">
        <v>41</v>
      </c>
      <c r="G34" s="2">
        <f t="shared" ref="G34:G39" si="4">IF(D34&lt;C34, D34+1, D34) - C34</f>
        <v>6.1111111111111116E-2</v>
      </c>
    </row>
    <row r="35" spans="2:9" x14ac:dyDescent="0.25">
      <c r="B35" s="1">
        <v>45754</v>
      </c>
      <c r="C35" s="2">
        <v>0.63541666666666663</v>
      </c>
      <c r="D35" s="2">
        <v>0.70833333333333337</v>
      </c>
      <c r="E35" t="s">
        <v>1</v>
      </c>
      <c r="F35" s="3" t="s">
        <v>44</v>
      </c>
      <c r="G35" s="2">
        <f t="shared" si="4"/>
        <v>7.2916666666666741E-2</v>
      </c>
    </row>
    <row r="36" spans="2:9" x14ac:dyDescent="0.25">
      <c r="B36" s="1"/>
      <c r="C36" s="2">
        <v>0.70833333333333337</v>
      </c>
      <c r="D36" s="2">
        <v>0.875</v>
      </c>
      <c r="E36" t="s">
        <v>47</v>
      </c>
      <c r="F36" s="3" t="s">
        <v>48</v>
      </c>
      <c r="G36" s="2">
        <f t="shared" si="4"/>
        <v>0.16666666666666663</v>
      </c>
      <c r="I36" t="s">
        <v>100</v>
      </c>
    </row>
    <row r="37" spans="2:9" ht="75" x14ac:dyDescent="0.25">
      <c r="C37" s="2">
        <v>0.89097222222222228</v>
      </c>
      <c r="D37" s="2">
        <v>0.93055555555555558</v>
      </c>
      <c r="E37" t="s">
        <v>45</v>
      </c>
      <c r="F37" s="3" t="s">
        <v>46</v>
      </c>
      <c r="G37" s="2">
        <f t="shared" si="4"/>
        <v>3.9583333333333304E-2</v>
      </c>
    </row>
    <row r="38" spans="2:9" ht="30" x14ac:dyDescent="0.25">
      <c r="C38" s="2">
        <v>0.98611111111111116</v>
      </c>
      <c r="D38" s="2">
        <v>6.9444444444444441E-3</v>
      </c>
      <c r="E38" t="s">
        <v>50</v>
      </c>
      <c r="F38" s="3" t="s">
        <v>49</v>
      </c>
      <c r="G38" s="2">
        <f t="shared" si="4"/>
        <v>2.0833333333333259E-2</v>
      </c>
    </row>
    <row r="39" spans="2:9" x14ac:dyDescent="0.25">
      <c r="B39" s="1">
        <v>45755</v>
      </c>
      <c r="C39" s="2">
        <v>0.64583333333333337</v>
      </c>
      <c r="D39" s="2">
        <v>0.69861111111111107</v>
      </c>
      <c r="E39" t="s">
        <v>45</v>
      </c>
      <c r="F39" s="3" t="s">
        <v>51</v>
      </c>
      <c r="G39" s="2">
        <f t="shared" si="4"/>
        <v>5.2777777777777701E-2</v>
      </c>
    </row>
    <row r="40" spans="2:9" x14ac:dyDescent="0.25">
      <c r="B40" s="1"/>
      <c r="C40" s="2">
        <v>0.90277777777777779</v>
      </c>
      <c r="D40" s="2">
        <v>0.94444444444444442</v>
      </c>
      <c r="E40" t="s">
        <v>45</v>
      </c>
      <c r="F40" s="3" t="s">
        <v>52</v>
      </c>
      <c r="G40" s="2">
        <f>IF(D40&lt;C40, D40+1, D40) - C40</f>
        <v>4.166666666666663E-2</v>
      </c>
    </row>
    <row r="41" spans="2:9" x14ac:dyDescent="0.25">
      <c r="B41" s="1">
        <v>45756</v>
      </c>
      <c r="C41" s="2">
        <v>0.65972222222222221</v>
      </c>
      <c r="D41" s="2">
        <v>0.75</v>
      </c>
      <c r="E41" t="s">
        <v>45</v>
      </c>
      <c r="F41" s="3" t="s">
        <v>53</v>
      </c>
      <c r="G41" s="2">
        <f>IF(D41&lt;C41, D41+1, D41) - C41</f>
        <v>9.027777777777779E-2</v>
      </c>
      <c r="I41" t="s">
        <v>100</v>
      </c>
    </row>
    <row r="42" spans="2:9" x14ac:dyDescent="0.25">
      <c r="B42" s="1"/>
      <c r="C42" s="2">
        <v>0.84513888888888888</v>
      </c>
      <c r="D42" s="2">
        <v>0.9375</v>
      </c>
      <c r="E42" t="s">
        <v>45</v>
      </c>
      <c r="F42" s="3" t="s">
        <v>54</v>
      </c>
      <c r="G42" s="2">
        <f>IF(D42&lt;C42, D42+1, D42) - C42</f>
        <v>9.2361111111111116E-2</v>
      </c>
    </row>
    <row r="43" spans="2:9" x14ac:dyDescent="0.25">
      <c r="B43" s="1">
        <v>45757</v>
      </c>
      <c r="C43" s="2">
        <v>0.68055555555555558</v>
      </c>
      <c r="D43" s="2"/>
      <c r="E43" t="s">
        <v>45</v>
      </c>
      <c r="F43" s="3" t="s">
        <v>55</v>
      </c>
      <c r="G43" s="2">
        <f>IF(D43&lt;C43, D43+1, D43) - C43</f>
        <v>0.31944444444444442</v>
      </c>
    </row>
    <row r="44" spans="2:9" x14ac:dyDescent="0.25">
      <c r="B44" s="1">
        <v>45758</v>
      </c>
      <c r="C44" s="2">
        <v>0.5</v>
      </c>
      <c r="D44" s="2">
        <v>0.65972222222222221</v>
      </c>
      <c r="E44" t="s">
        <v>45</v>
      </c>
      <c r="F44" s="3" t="s">
        <v>56</v>
      </c>
      <c r="G44" s="2">
        <f>IF(D44&lt;C44, D44+1, D44) - C44</f>
        <v>0.15972222222222221</v>
      </c>
    </row>
    <row r="45" spans="2:9" x14ac:dyDescent="0.25">
      <c r="C45" s="2">
        <v>0.66666666666666663</v>
      </c>
      <c r="D45" s="2">
        <v>0.70833333333333337</v>
      </c>
      <c r="E45" t="s">
        <v>45</v>
      </c>
      <c r="F45" s="3" t="s">
        <v>57</v>
      </c>
      <c r="G45" s="2">
        <f t="shared" ref="G45:G46" si="5">IF(D45&lt;C45, D45+1, D45) - C45</f>
        <v>4.1666666666666741E-2</v>
      </c>
    </row>
    <row r="46" spans="2:9" x14ac:dyDescent="0.25">
      <c r="C46" s="2">
        <v>0.70833333333333337</v>
      </c>
      <c r="D46" s="2">
        <v>0.75</v>
      </c>
      <c r="E46" t="s">
        <v>45</v>
      </c>
      <c r="F46" s="3" t="s">
        <v>58</v>
      </c>
      <c r="G46" s="2">
        <f t="shared" si="5"/>
        <v>4.166666666666663E-2</v>
      </c>
    </row>
    <row r="47" spans="2:9" x14ac:dyDescent="0.25">
      <c r="C47" s="2">
        <v>0.75</v>
      </c>
      <c r="D47" s="2">
        <v>0.8125</v>
      </c>
      <c r="E47" t="s">
        <v>71</v>
      </c>
      <c r="F47" s="3" t="s">
        <v>59</v>
      </c>
      <c r="G47" s="2">
        <f t="shared" ref="G47:G55" si="6">IF(D47&lt;C47, D47+1, D47) - C47</f>
        <v>6.25E-2</v>
      </c>
    </row>
    <row r="48" spans="2:9"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 t="shared" ref="G56:G65" si="7">IF(D56&lt;C56, D56+1, D56) - C56</f>
        <v>4.0972222222222299E-2</v>
      </c>
    </row>
    <row r="57" spans="2:7" ht="90" x14ac:dyDescent="0.25">
      <c r="B57" s="1"/>
      <c r="C57" s="2">
        <v>0.69513888888888886</v>
      </c>
      <c r="D57" s="2">
        <v>0.92638888888888893</v>
      </c>
      <c r="E57" t="s">
        <v>74</v>
      </c>
      <c r="F57" s="3" t="s">
        <v>75</v>
      </c>
      <c r="G57" s="2">
        <f t="shared" si="7"/>
        <v>0.23125000000000007</v>
      </c>
    </row>
    <row r="58" spans="2:7" x14ac:dyDescent="0.25">
      <c r="B58" s="1">
        <v>45762</v>
      </c>
      <c r="C58" s="2">
        <v>1.0416666666666666E-2</v>
      </c>
      <c r="D58" s="2">
        <v>5.7638888888888892E-2</v>
      </c>
      <c r="E58" t="s">
        <v>74</v>
      </c>
      <c r="G58" s="2">
        <f t="shared" si="7"/>
        <v>4.7222222222222228E-2</v>
      </c>
    </row>
    <row r="59" spans="2:7" x14ac:dyDescent="0.25">
      <c r="B59" s="1"/>
      <c r="C59" s="2">
        <v>0.6875</v>
      </c>
      <c r="D59" s="2">
        <v>0.8125</v>
      </c>
      <c r="E59" t="s">
        <v>74</v>
      </c>
      <c r="F59" s="3" t="s">
        <v>76</v>
      </c>
      <c r="G59" s="2">
        <f t="shared" si="7"/>
        <v>0.125</v>
      </c>
    </row>
    <row r="60" spans="2:7" ht="105" x14ac:dyDescent="0.25">
      <c r="B60" s="1"/>
      <c r="C60" s="2">
        <v>0.9375</v>
      </c>
      <c r="D60" s="2">
        <v>7.2916666666666671E-2</v>
      </c>
      <c r="F60" s="3" t="s">
        <v>77</v>
      </c>
      <c r="G60" s="2">
        <f t="shared" si="7"/>
        <v>0.13541666666666674</v>
      </c>
    </row>
    <row r="61" spans="2:7" ht="30" x14ac:dyDescent="0.25">
      <c r="B61" s="1">
        <v>45764</v>
      </c>
      <c r="C61" s="2">
        <v>0.91666666666666663</v>
      </c>
      <c r="D61" s="2">
        <v>1.6666666666666666E-2</v>
      </c>
      <c r="E61" t="s">
        <v>69</v>
      </c>
      <c r="F61" s="3" t="s">
        <v>78</v>
      </c>
      <c r="G61" s="2">
        <f t="shared" si="7"/>
        <v>9.9999999999999978E-2</v>
      </c>
    </row>
    <row r="62" spans="2:7" x14ac:dyDescent="0.25">
      <c r="B62" s="1">
        <v>45765</v>
      </c>
      <c r="C62" s="2">
        <v>0.86805555555555558</v>
      </c>
      <c r="D62" s="2">
        <v>1.0416666666666666E-2</v>
      </c>
      <c r="E62" t="s">
        <v>79</v>
      </c>
      <c r="F62" s="3" t="s">
        <v>80</v>
      </c>
      <c r="G62" s="2">
        <f t="shared" si="7"/>
        <v>0.14236111111111116</v>
      </c>
    </row>
    <row r="63" spans="2:7" x14ac:dyDescent="0.25">
      <c r="B63" s="1"/>
      <c r="C63" s="2"/>
      <c r="D63" s="2"/>
      <c r="E63" t="s">
        <v>74</v>
      </c>
      <c r="F63" s="3" t="s">
        <v>82</v>
      </c>
      <c r="G63" s="2">
        <f t="shared" si="7"/>
        <v>0</v>
      </c>
    </row>
    <row r="64" spans="2:7" x14ac:dyDescent="0.25">
      <c r="B64" s="1"/>
      <c r="C64" s="2"/>
      <c r="D64" s="2"/>
      <c r="E64" t="s">
        <v>45</v>
      </c>
      <c r="F64" s="3" t="s">
        <v>81</v>
      </c>
      <c r="G64" s="2">
        <f t="shared" si="7"/>
        <v>0</v>
      </c>
    </row>
    <row r="65" spans="2:8" ht="30" x14ac:dyDescent="0.25">
      <c r="B65" s="1">
        <v>45766</v>
      </c>
      <c r="C65" s="2">
        <v>0.44444444444444442</v>
      </c>
      <c r="D65" s="2">
        <v>0.60416666666666663</v>
      </c>
      <c r="E65" t="s">
        <v>45</v>
      </c>
      <c r="F65" s="3" t="s">
        <v>84</v>
      </c>
      <c r="G65" s="2">
        <f t="shared" si="7"/>
        <v>0.15972222222222221</v>
      </c>
    </row>
    <row r="66" spans="2:8" x14ac:dyDescent="0.25">
      <c r="B66" s="1"/>
      <c r="C66" s="2">
        <v>0.66666666666666663</v>
      </c>
      <c r="D66" s="2">
        <v>0.80486111111111114</v>
      </c>
      <c r="E66" t="s">
        <v>74</v>
      </c>
      <c r="F66" s="3" t="s">
        <v>85</v>
      </c>
      <c r="G66" s="2">
        <f t="shared" ref="G66:G71" si="8">IF(D66&lt;C66, D66+1, D66) - C66</f>
        <v>0.13819444444444451</v>
      </c>
    </row>
    <row r="67" spans="2:8" x14ac:dyDescent="0.25">
      <c r="B67" s="1"/>
      <c r="C67" s="2">
        <v>0.86805555555555558</v>
      </c>
      <c r="D67" s="2">
        <v>0.91666666666666663</v>
      </c>
      <c r="F67" s="3" t="s">
        <v>86</v>
      </c>
      <c r="G67" s="2">
        <f t="shared" si="8"/>
        <v>4.8611111111111049E-2</v>
      </c>
    </row>
    <row r="68" spans="2:8" x14ac:dyDescent="0.25">
      <c r="B68" s="1"/>
      <c r="C68" s="2">
        <v>0.91666666666666663</v>
      </c>
      <c r="D68" s="2">
        <v>6.9444444444444441E-3</v>
      </c>
      <c r="E68" t="s">
        <v>74</v>
      </c>
      <c r="F68" s="3" t="s">
        <v>87</v>
      </c>
      <c r="G68" s="2">
        <f t="shared" si="8"/>
        <v>9.027777777777779E-2</v>
      </c>
    </row>
    <row r="69" spans="2:8" x14ac:dyDescent="0.25">
      <c r="B69" s="1">
        <v>45767</v>
      </c>
      <c r="C69" s="2">
        <v>0.65972222222222221</v>
      </c>
      <c r="D69" s="2">
        <v>0.74513888888888891</v>
      </c>
      <c r="E69" t="s">
        <v>74</v>
      </c>
      <c r="F69" s="3" t="s">
        <v>89</v>
      </c>
      <c r="G69" s="2">
        <f t="shared" si="8"/>
        <v>8.5416666666666696E-2</v>
      </c>
    </row>
    <row r="70" spans="2:8" ht="60" x14ac:dyDescent="0.25">
      <c r="B70" s="1"/>
      <c r="C70" s="2">
        <v>0.89652777777777781</v>
      </c>
      <c r="D70" s="2">
        <v>0.12430555555555556</v>
      </c>
      <c r="E70" t="s">
        <v>88</v>
      </c>
      <c r="F70" s="3" t="s">
        <v>90</v>
      </c>
      <c r="G70" s="2">
        <f t="shared" si="8"/>
        <v>0.22777777777777763</v>
      </c>
    </row>
    <row r="71" spans="2:8" x14ac:dyDescent="0.25">
      <c r="B71" s="1">
        <v>45768</v>
      </c>
      <c r="C71" s="2">
        <v>0.40972222222222221</v>
      </c>
      <c r="D71" s="2"/>
      <c r="E71" t="s">
        <v>88</v>
      </c>
      <c r="F71" s="3" t="s">
        <v>91</v>
      </c>
      <c r="G71" s="2">
        <f t="shared" si="8"/>
        <v>0.59027777777777779</v>
      </c>
    </row>
    <row r="72" spans="2:8" x14ac:dyDescent="0.25">
      <c r="B72" s="1"/>
      <c r="C72" s="2"/>
      <c r="D72" s="2"/>
      <c r="E72" t="s">
        <v>71</v>
      </c>
      <c r="F72" s="3" t="s">
        <v>94</v>
      </c>
      <c r="G72" s="2">
        <f t="shared" ref="G72:G77" si="9">IF(D72&lt;C72, D72+1, D72) - C72</f>
        <v>0</v>
      </c>
    </row>
    <row r="73" spans="2:8" x14ac:dyDescent="0.25">
      <c r="B73" s="1">
        <v>45769</v>
      </c>
      <c r="C73" s="2">
        <v>0.64583333333333337</v>
      </c>
      <c r="D73" s="2">
        <v>0.93333333333333335</v>
      </c>
      <c r="E73" t="s">
        <v>74</v>
      </c>
      <c r="F73" s="3" t="s">
        <v>92</v>
      </c>
      <c r="G73" s="2">
        <f t="shared" si="9"/>
        <v>0.28749999999999998</v>
      </c>
    </row>
    <row r="74" spans="2:8" x14ac:dyDescent="0.25">
      <c r="C74" s="2">
        <v>0.97916666666666663</v>
      </c>
      <c r="D74" s="2">
        <v>6.8750000000000006E-2</v>
      </c>
      <c r="E74" t="s">
        <v>74</v>
      </c>
      <c r="F74" s="3" t="s">
        <v>92</v>
      </c>
      <c r="G74" s="2">
        <f t="shared" si="9"/>
        <v>8.9583333333333459E-2</v>
      </c>
    </row>
    <row r="75" spans="2:8" ht="45" x14ac:dyDescent="0.25">
      <c r="B75" s="1">
        <v>45770</v>
      </c>
      <c r="C75" s="2">
        <v>0.63888888888888884</v>
      </c>
      <c r="D75" s="2">
        <v>0.81944444444444442</v>
      </c>
      <c r="E75" t="s">
        <v>74</v>
      </c>
      <c r="F75" s="3" t="s">
        <v>93</v>
      </c>
      <c r="G75" s="2">
        <f t="shared" si="9"/>
        <v>0.18055555555555558</v>
      </c>
    </row>
    <row r="76" spans="2:8" ht="30" x14ac:dyDescent="0.25">
      <c r="C76" s="2">
        <v>0.9375</v>
      </c>
      <c r="D76" s="2">
        <v>0.97916666666666663</v>
      </c>
      <c r="E76" t="s">
        <v>74</v>
      </c>
      <c r="F76" s="3" t="s">
        <v>95</v>
      </c>
      <c r="G76" s="2">
        <f t="shared" si="9"/>
        <v>4.166666666666663E-2</v>
      </c>
    </row>
    <row r="77" spans="2:8" x14ac:dyDescent="0.25">
      <c r="B77" s="1">
        <v>45772</v>
      </c>
      <c r="C77" s="2">
        <v>0.85833333333333328</v>
      </c>
      <c r="D77" s="2">
        <v>0.95833333333333337</v>
      </c>
      <c r="E77" t="s">
        <v>74</v>
      </c>
      <c r="F77" s="3" t="s">
        <v>96</v>
      </c>
      <c r="G77" s="2">
        <f t="shared" si="9"/>
        <v>0.10000000000000009</v>
      </c>
    </row>
    <row r="78" spans="2:8" x14ac:dyDescent="0.25">
      <c r="B78" s="1">
        <v>45773</v>
      </c>
      <c r="C78" s="2">
        <v>0.45833333333333331</v>
      </c>
      <c r="D78" s="2">
        <v>0.59861111111111109</v>
      </c>
      <c r="E78" t="s">
        <v>74</v>
      </c>
      <c r="F78" s="3" t="s">
        <v>97</v>
      </c>
      <c r="G78" s="2">
        <f>IF(D78&lt;C78, D78+1, D78) - C78</f>
        <v>0.14027777777777778</v>
      </c>
    </row>
    <row r="79" spans="2:8" ht="60" x14ac:dyDescent="0.25">
      <c r="C79" s="2">
        <v>0.64583333333333337</v>
      </c>
      <c r="D79" s="2">
        <v>0.77083333333333337</v>
      </c>
      <c r="E79" t="s">
        <v>74</v>
      </c>
      <c r="F79" s="3" t="s">
        <v>103</v>
      </c>
      <c r="G79" s="2">
        <f>IF(D79&lt;C79, D79+1, D79) - C79</f>
        <v>0.125</v>
      </c>
      <c r="H79" t="s">
        <v>98</v>
      </c>
    </row>
    <row r="80" spans="2:8" ht="30" x14ac:dyDescent="0.25">
      <c r="C80" s="2">
        <v>0.79166666666666663</v>
      </c>
      <c r="F80" s="3" t="s">
        <v>102</v>
      </c>
      <c r="G80" s="2">
        <f>IF(D80&lt;C80, D80+1, D80) - C80</f>
        <v>0.20833333333333337</v>
      </c>
    </row>
    <row r="81" spans="3:7" x14ac:dyDescent="0.25">
      <c r="C81" s="2"/>
      <c r="G81" s="2"/>
    </row>
    <row r="82" spans="3:7" x14ac:dyDescent="0.25">
      <c r="C82" s="2"/>
      <c r="G82" s="2"/>
    </row>
    <row r="83" spans="3:7" x14ac:dyDescent="0.25">
      <c r="C83" s="2"/>
      <c r="G83" s="2"/>
    </row>
    <row r="84" spans="3:7" x14ac:dyDescent="0.25">
      <c r="C84" s="2"/>
      <c r="G84" s="2"/>
    </row>
    <row r="85" spans="3:7" x14ac:dyDescent="0.25">
      <c r="C85" s="2"/>
      <c r="G85" s="2"/>
    </row>
    <row r="86" spans="3:7" x14ac:dyDescent="0.25">
      <c r="C86" s="2"/>
      <c r="G86" s="2"/>
    </row>
    <row r="87" spans="3:7" x14ac:dyDescent="0.25">
      <c r="C87" s="2"/>
      <c r="G87" s="2"/>
    </row>
    <row r="88" spans="3:7" x14ac:dyDescent="0.25">
      <c r="C88" s="2"/>
      <c r="G88" s="2"/>
    </row>
    <row r="89" spans="3:7" x14ac:dyDescent="0.25">
      <c r="C89" s="2"/>
      <c r="G89" s="2"/>
    </row>
    <row r="90" spans="3:7" x14ac:dyDescent="0.25">
      <c r="C90" s="2"/>
      <c r="G90" s="2"/>
    </row>
    <row r="91" spans="3:7" x14ac:dyDescent="0.25">
      <c r="C91" s="2"/>
      <c r="G91" s="2"/>
    </row>
    <row r="92" spans="3:7" x14ac:dyDescent="0.25">
      <c r="C92" s="2"/>
      <c r="G92" s="2"/>
    </row>
    <row r="93" spans="3:7" x14ac:dyDescent="0.25">
      <c r="C93" s="2"/>
      <c r="G93" s="2"/>
    </row>
    <row r="94" spans="3:7" x14ac:dyDescent="0.25">
      <c r="C94" s="2"/>
      <c r="G94" s="2"/>
    </row>
    <row r="96" spans="3:7" x14ac:dyDescent="0.25">
      <c r="F96" s="8" t="s">
        <v>43</v>
      </c>
    </row>
    <row r="97" spans="6:6" x14ac:dyDescent="0.25">
      <c r="F97" s="9" t="s">
        <v>42</v>
      </c>
    </row>
  </sheetData>
  <phoneticPr fontId="3"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3"/>
  <sheetViews>
    <sheetView workbookViewId="0">
      <selection activeCell="A4" sqref="A4"/>
    </sheetView>
  </sheetViews>
  <sheetFormatPr defaultRowHeight="15" x14ac:dyDescent="0.25"/>
  <sheetData>
    <row r="1" spans="1:1" x14ac:dyDescent="0.25">
      <c r="A1" t="s">
        <v>65</v>
      </c>
    </row>
    <row r="2" spans="1:1" x14ac:dyDescent="0.25">
      <c r="A2" t="s">
        <v>66</v>
      </c>
    </row>
    <row r="3" spans="1:1" x14ac:dyDescent="0.25">
      <c r="A3" t="s">
        <v>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2025-04-27T00:01:03Z</dcterms:modified>
</cp:coreProperties>
</file>