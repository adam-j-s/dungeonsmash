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AE2EFFD8-AEE7-48B8-A8EC-E72CAD080C0A}"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Name Ideas" sheetId="4" r:id="rId2"/>
    <sheet name="Card Combiner" sheetId="3" r:id="rId3"/>
    <sheet name="Godot Learning"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8" i="1" l="1"/>
  <c r="D4" i="1" s="1"/>
  <c r="G77" i="1"/>
  <c r="G72" i="1"/>
  <c r="G76" i="1"/>
  <c r="G75" i="1"/>
  <c r="G74" i="1"/>
  <c r="G73" i="1"/>
  <c r="G71" i="1"/>
  <c r="G70" i="1"/>
  <c r="G69" i="1"/>
  <c r="G68" i="1"/>
  <c r="G67" i="1"/>
  <c r="G66" i="1"/>
  <c r="G65" i="1"/>
  <c r="G64" i="1"/>
  <c r="G63" i="1"/>
  <c r="G62" i="1"/>
  <c r="G61" i="1"/>
  <c r="G60" i="1"/>
  <c r="G59" i="1"/>
  <c r="G58" i="1"/>
  <c r="G57" i="1"/>
  <c r="G56" i="1"/>
  <c r="G55" i="1"/>
  <c r="G54" i="1"/>
  <c r="G53" i="1"/>
  <c r="G52" i="1"/>
  <c r="G51" i="1"/>
  <c r="G50" i="1"/>
  <c r="G49" i="1"/>
  <c r="G48" i="1"/>
  <c r="G47" i="1"/>
  <c r="G43" i="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C4" i="2" l="1"/>
</calcChain>
</file>

<file path=xl/sharedStrings.xml><?xml version="1.0" encoding="utf-8"?>
<sst xmlns="http://schemas.openxmlformats.org/spreadsheetml/2006/main" count="171" uniqueCount="98">
  <si>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</si>
  <si>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</si>
  <si>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</si>
  <si>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</si>
  <si>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</si>
  <si>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</si>
  <si>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</si>
  <si>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</si>
  <si>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</si>
  <si>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</si>
  <si>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</si>
  <si>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</si>
  <si>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</si>
  <si>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</si>
  <si>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</si>
  <si>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</si>
  <si>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</si>
  <si>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</si>
  <si>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</si>
  <si>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</si>
  <si>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</si>
  <si>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</si>
  <si>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</si>
  <si>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</si>
  <si>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</si>
  <si>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</si>
  <si>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</si>
  <si>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</si>
  <si>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</si>
  <si>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</si>
  <si>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</si>
  <si>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</si>
  <si>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</si>
  <si>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</si>
  <si>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</si>
  <si>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</si>
  <si>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</si>
  <si>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</si>
  <si>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</si>
  <si>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</si>
  <si>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</si>
  <si>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</si>
  <si>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</si>
  <si>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</si>
  <si>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</si>
  <si>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</si>
  <si>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</si>
  <si>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</si>
  <si>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</si>
  <si>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</si>
  <si>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</si>
  <si>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</si>
  <si>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</si>
  <si>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</si>
  <si>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</si>
  <si>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</si>
  <si>
    <t>Completing JSON setup</t>
  </si>
  <si>
    <t>Completed JSON setup</t>
  </si>
  <si>
    <t>Looking into fixing Singularity bomb</t>
  </si>
  <si>
    <t>Starting to think about creating new levels</t>
  </si>
  <si>
    <t>Implementing arena system
- fixed connection between existing scenes to load arenas</t>
  </si>
  <si>
    <t>Created new arena editor system:
Successfully debugged and fixed the ArenaDatabase singleton loading issue (identified the has_singleton timing quirk and implemented the direct access workaround).
Correctly integrated the GameManager, ArenaDatabase, and battle_arena scene flow for loading specific arena data.
Set up and used the arena_capture_tool to save layout data, including dynamic spawn points via Marker2Ds.
Successfully loaded and tested a second, different arena layout, proving the system's flexibility.
Defined a solid schema for placeholder TileSet properties to enable rapid functional level design.
Clarified how to handle backgrounds, parallax, decorations, and UI within this system.
Discussed potential future AI approaches</t>
  </si>
  <si>
    <t>Added Twin-Stick control system 
- Added bug, player character attacks in wrong direction</t>
  </si>
  <si>
    <t>Marketing</t>
  </si>
  <si>
    <t>Brainstorming names, etc</t>
  </si>
  <si>
    <t>Name Ideas</t>
  </si>
  <si>
    <t>Descendrum</t>
  </si>
  <si>
    <t>Fixing wrong direction
- attack styles were reversing direction being given by player and weapon base</t>
  </si>
  <si>
    <t>Control</t>
  </si>
  <si>
    <t>Bug Fix</t>
  </si>
  <si>
    <t>Creating Arena Select Screen</t>
  </si>
  <si>
    <t>Arena System</t>
  </si>
  <si>
    <t>Melee attack style crashing (something to do with attack_direction and timer? Need to check against other scripts and whole system</t>
  </si>
  <si>
    <t>Rewrote attack style base and attack styles to centralize player direction, and included collision utils into attack styles</t>
  </si>
  <si>
    <t>Enemy System</t>
  </si>
  <si>
    <t>Created new Enemy System:
- Enemy Manager
- Enemy config
- Basic Enemy
- Slime (attempt to create procedural slime enemy)
- Slime spit</t>
  </si>
  <si>
    <t>Added slithering limb</t>
  </si>
  <si>
    <t>Added more basic enemies:
- bouncer
- jumper
- turret
- procedural spider
- procedural spider 3d
- carrion beast</t>
  </si>
  <si>
    <t>Trying to fix hitboxes for pull blade and blast hammer</t>
  </si>
  <si>
    <t>Bug fix</t>
  </si>
  <si>
    <t>Fixed hitboxes for pull blade and blast hammer</t>
  </si>
  <si>
    <t>Centralised collisions for weapons</t>
  </si>
  <si>
    <t>Creating a new enemy</t>
  </si>
  <si>
    <t>Descendom</t>
  </si>
  <si>
    <t>Fixing projectile collisions
- Fixing dagger</t>
  </si>
  <si>
    <t>Creating enemy navigation system</t>
  </si>
  <si>
    <t>Fixed enemy navigation</t>
  </si>
  <si>
    <t>Began refactoring enemy system</t>
  </si>
  <si>
    <t>Enemies</t>
  </si>
  <si>
    <t>Finished first refactoring of enemy system</t>
  </si>
  <si>
    <t>Added Fodder enemy
- added zap fodder enemy
- created centralised weapon system for enemies to prevent references spread out across enemy script</t>
  </si>
  <si>
    <t>Adding weapon system to remaining enemies</t>
  </si>
  <si>
    <t>Crawling enemy - component system</t>
  </si>
  <si>
    <t>Gave up on crawling enemy
- component system unwiedly and couldn't produce the desired functionality</t>
  </si>
  <si>
    <t>Added procedural arena creations</t>
  </si>
  <si>
    <t>Decided to return to save after prcedural arena system</t>
  </si>
  <si>
    <t>Began refactoring to State Machine system</t>
  </si>
  <si>
    <t>Continuing to trouble shoot fodder_enemy_sm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</si>
</sst>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3">
    <fill>
      <patternFill patternType="none"/>
    </fill>
    <fill>
      <patternFill patternType="gray125"/>
    </fill>
    <fill>
      <patternFill patternType="solid">
        <fgColor theme="6" tint="0.79998168889431442"/>
        <bgColor theme="6" tint="0.79998168889431442"/>
      </patternFill>
    </fill>
  </fills>
  <borders count="2">
    <border>
      <left/>
      <right/>
      <top/>
      <bottom/>
      <diagonal/>
    </border>
    <border>
      <left style="thin">
        <color theme="6"/>
      </left>
      <right style="thin">
        <color theme="6"/>
      </right>
      <top style="thin">
        <color theme="6"/>
      </top>
      <bottom style="thin">
        <color theme="6"/>
      </bottom>
      <diagonal/>
    </border>
  </borders>
  <cellStyleXfs count="1">
    <xf numFmtId="0" fontId="0" fillId="0" borderId="0"/>
  </cellStyleXfs>
  <cellXfs count="10">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xf numFmtId="0" fontId="0" fillId="2" borderId="1" xfId="0" applyFill="1" applyBorder="1" applyAlignment="1">
      <alignment wrapText="1"/>
    </xf>
    <xf numFmtId="0" fontId="0" fillId="0" borderId="1" xfId="0" applyBorder="1" applyAlignment="1">
      <alignment wrapText="1"/>
    </xf>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78" totalsRowShown="0">
  <autoFilter ref="B6:G78"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82"/>
  <sheetViews>
    <sheetView tabSelected="1" topLeftCell="A58" workbookViewId="0">
      <selection activeCell="F79" sqref="F79"/>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SUM(G7:G78)</f>
        <v>8.59236111111111</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E40" t="s">
        <v>45</v>
      </c>
      <c r="F40" s="3" t="s">
        <v>52</v>
      </c>
      <c r="G40" s="2">
        <f>IF(D40&lt;C40, D40+1, D40) - C40</f>
        <v>4.166666666666663E-2</v>
      </c>
    </row>
    <row r="41" spans="2:7" x14ac:dyDescent="0.25">
      <c r="B41" s="1">
        <v>45756</v>
      </c>
      <c r="C41" s="2">
        <v>0.65972222222222221</v>
      </c>
      <c r="D41" s="2">
        <v>0.75</v>
      </c>
      <c r="E41" t="s">
        <v>45</v>
      </c>
      <c r="F41" s="3" t="s">
        <v>53</v>
      </c>
      <c r="G41" s="2">
        <f>IF(D41&lt;C41, D41+1, D41) - C41</f>
        <v>9.027777777777779E-2</v>
      </c>
    </row>
    <row r="42" spans="2:7" x14ac:dyDescent="0.25">
      <c r="B42" s="1"/>
      <c r="C42" s="2">
        <v>0.84513888888888888</v>
      </c>
      <c r="D42" s="2">
        <v>0.9375</v>
      </c>
      <c r="E42" t="s">
        <v>45</v>
      </c>
      <c r="F42" s="3" t="s">
        <v>54</v>
      </c>
      <c r="G42" s="2">
        <f>IF(D42&lt;C42, D42+1, D42) - C42</f>
        <v>9.2361111111111116E-2</v>
      </c>
    </row>
    <row r="43" spans="2:7" x14ac:dyDescent="0.25">
      <c r="B43" s="1">
        <v>45757</v>
      </c>
      <c r="C43" s="2">
        <v>0.68055555555555558</v>
      </c>
      <c r="D43" s="2"/>
      <c r="E43" t="s">
        <v>45</v>
      </c>
      <c r="F43" s="3" t="s">
        <v>55</v>
      </c>
      <c r="G43" s="2">
        <f>IF(D43&lt;C43, D43+1, D43) - C43</f>
        <v>0.31944444444444442</v>
      </c>
    </row>
    <row r="44" spans="2:7" x14ac:dyDescent="0.25">
      <c r="B44" s="1">
        <v>45758</v>
      </c>
      <c r="C44" s="2">
        <v>0.5</v>
      </c>
      <c r="D44" s="2">
        <v>0.65972222222222221</v>
      </c>
      <c r="E44" t="s">
        <v>45</v>
      </c>
      <c r="F44" s="3" t="s">
        <v>56</v>
      </c>
      <c r="G44" s="2">
        <f>IF(D44&lt;C44, D44+1, D44) - C44</f>
        <v>0.15972222222222221</v>
      </c>
    </row>
    <row r="45" spans="2:7" x14ac:dyDescent="0.25">
      <c r="C45" s="2">
        <v>0.66666666666666663</v>
      </c>
      <c r="D45" s="2">
        <v>0.70833333333333337</v>
      </c>
      <c r="E45" t="s">
        <v>45</v>
      </c>
      <c r="F45" s="3" t="s">
        <v>57</v>
      </c>
      <c r="G45" s="2">
        <f t="shared" ref="G45:G46" si="5">IF(D45&lt;C45, D45+1, D45) - C45</f>
        <v>4.1666666666666741E-2</v>
      </c>
    </row>
    <row r="46" spans="2:7" x14ac:dyDescent="0.25">
      <c r="C46" s="2">
        <v>0.70833333333333337</v>
      </c>
      <c r="D46" s="2">
        <v>0.75</v>
      </c>
      <c r="E46" t="s">
        <v>45</v>
      </c>
      <c r="F46" s="3" t="s">
        <v>58</v>
      </c>
      <c r="G46" s="2">
        <f t="shared" si="5"/>
        <v>4.166666666666663E-2</v>
      </c>
    </row>
    <row r="47" spans="2:7" x14ac:dyDescent="0.25">
      <c r="C47" s="2">
        <v>0.75</v>
      </c>
      <c r="D47" s="2">
        <v>0.8125</v>
      </c>
      <c r="E47" t="s">
        <v>71</v>
      </c>
      <c r="F47" s="3" t="s">
        <v>59</v>
      </c>
      <c r="G47" s="2">
        <f t="shared" ref="G47:G55" si="6">IF(D47&lt;C47, D47+1, D47) - C47</f>
        <v>6.25E-2</v>
      </c>
    </row>
    <row r="48" spans="2:7" x14ac:dyDescent="0.25">
      <c r="C48" s="2">
        <v>0.96875</v>
      </c>
      <c r="D48" s="2"/>
      <c r="E48" t="s">
        <v>71</v>
      </c>
      <c r="G48" s="2">
        <f t="shared" si="6"/>
        <v>3.125E-2</v>
      </c>
    </row>
    <row r="49" spans="2:7" ht="45" x14ac:dyDescent="0.25">
      <c r="B49" s="1">
        <v>45759</v>
      </c>
      <c r="C49" s="2">
        <v>0.59097222222222223</v>
      </c>
      <c r="D49" s="2">
        <v>0.71666666666666667</v>
      </c>
      <c r="E49" t="s">
        <v>71</v>
      </c>
      <c r="F49" s="3" t="s">
        <v>60</v>
      </c>
      <c r="G49" s="2">
        <f t="shared" si="6"/>
        <v>0.12569444444444444</v>
      </c>
    </row>
    <row r="50" spans="2:7" ht="372" customHeight="1" x14ac:dyDescent="0.25">
      <c r="C50" s="2">
        <v>0.8</v>
      </c>
      <c r="D50" s="2">
        <v>9.5138888888888884E-2</v>
      </c>
      <c r="E50" t="s">
        <v>71</v>
      </c>
      <c r="F50" s="3" t="s">
        <v>61</v>
      </c>
      <c r="G50" s="2">
        <f t="shared" si="6"/>
        <v>0.29513888888888884</v>
      </c>
    </row>
    <row r="51" spans="2:7" ht="45" x14ac:dyDescent="0.25">
      <c r="B51" s="1">
        <v>45760</v>
      </c>
      <c r="C51" s="2">
        <v>0.55833333333333335</v>
      </c>
      <c r="D51" s="2">
        <v>0.77083333333333337</v>
      </c>
      <c r="E51" t="s">
        <v>68</v>
      </c>
      <c r="F51" s="3" t="s">
        <v>62</v>
      </c>
      <c r="G51" s="2">
        <f t="shared" si="6"/>
        <v>0.21250000000000002</v>
      </c>
    </row>
    <row r="52" spans="2:7" x14ac:dyDescent="0.25">
      <c r="C52" s="2">
        <v>0.7993055555555556</v>
      </c>
      <c r="D52" s="2">
        <v>0.85416666666666663</v>
      </c>
      <c r="E52" t="s">
        <v>63</v>
      </c>
      <c r="F52" s="3" t="s">
        <v>64</v>
      </c>
      <c r="G52" s="2">
        <f t="shared" si="6"/>
        <v>5.4861111111111027E-2</v>
      </c>
    </row>
    <row r="53" spans="2:7" ht="45" x14ac:dyDescent="0.25">
      <c r="C53" s="2">
        <v>0.84375</v>
      </c>
      <c r="D53" s="2">
        <v>0.875</v>
      </c>
      <c r="E53" t="s">
        <v>69</v>
      </c>
      <c r="F53" s="3" t="s">
        <v>67</v>
      </c>
      <c r="G53" s="2">
        <f t="shared" si="6"/>
        <v>3.125E-2</v>
      </c>
    </row>
    <row r="54" spans="2:7" x14ac:dyDescent="0.25">
      <c r="C54" s="2">
        <v>0.875</v>
      </c>
      <c r="D54" s="2">
        <v>0.92361111111111116</v>
      </c>
      <c r="E54" t="s">
        <v>71</v>
      </c>
      <c r="F54" s="3" t="s">
        <v>70</v>
      </c>
      <c r="G54" s="2">
        <f t="shared" si="6"/>
        <v>4.861111111111116E-2</v>
      </c>
    </row>
    <row r="55" spans="2:7" ht="45" x14ac:dyDescent="0.25">
      <c r="C55" s="2">
        <v>0.95972222222222225</v>
      </c>
      <c r="D55" s="2">
        <v>1.8749999999999999E-2</v>
      </c>
      <c r="E55" t="s">
        <v>69</v>
      </c>
      <c r="F55" s="3" t="s">
        <v>72</v>
      </c>
      <c r="G55" s="2">
        <f t="shared" si="6"/>
        <v>5.902777777777779E-2</v>
      </c>
    </row>
    <row r="56" spans="2:7" ht="45" x14ac:dyDescent="0.25">
      <c r="B56" s="1">
        <v>45761</v>
      </c>
      <c r="C56" s="2">
        <v>0.57638888888888884</v>
      </c>
      <c r="D56" s="2">
        <v>0.61736111111111114</v>
      </c>
      <c r="E56" t="s">
        <v>69</v>
      </c>
      <c r="F56" s="3" t="s">
        <v>73</v>
      </c>
      <c r="G56" s="2">
        <f t="shared" ref="G56:G65" si="7">IF(D56&lt;C56, D56+1, D56) - C56</f>
        <v>4.0972222222222299E-2</v>
      </c>
    </row>
    <row r="57" spans="2:7" ht="90" x14ac:dyDescent="0.25">
      <c r="B57" s="1"/>
      <c r="C57" s="2">
        <v>0.69513888888888886</v>
      </c>
      <c r="D57" s="2">
        <v>0.92638888888888893</v>
      </c>
      <c r="E57" t="s">
        <v>74</v>
      </c>
      <c r="F57" s="3" t="s">
        <v>75</v>
      </c>
      <c r="G57" s="2">
        <f t="shared" si="7"/>
        <v>0.23125000000000007</v>
      </c>
    </row>
    <row r="58" spans="2:7" x14ac:dyDescent="0.25">
      <c r="B58" s="1">
        <v>45762</v>
      </c>
      <c r="C58" s="2">
        <v>1.0416666666666666E-2</v>
      </c>
      <c r="D58" s="2">
        <v>5.7638888888888892E-2</v>
      </c>
      <c r="E58" t="s">
        <v>74</v>
      </c>
      <c r="G58" s="2">
        <f t="shared" si="7"/>
        <v>4.7222222222222228E-2</v>
      </c>
    </row>
    <row r="59" spans="2:7" x14ac:dyDescent="0.25">
      <c r="B59" s="1"/>
      <c r="C59" s="2">
        <v>0.6875</v>
      </c>
      <c r="D59" s="2">
        <v>0.8125</v>
      </c>
      <c r="E59" t="s">
        <v>74</v>
      </c>
      <c r="F59" s="3" t="s">
        <v>76</v>
      </c>
      <c r="G59" s="2">
        <f t="shared" si="7"/>
        <v>0.125</v>
      </c>
    </row>
    <row r="60" spans="2:7" ht="105" x14ac:dyDescent="0.25">
      <c r="B60" s="1"/>
      <c r="C60" s="2">
        <v>0.9375</v>
      </c>
      <c r="D60" s="2">
        <v>7.2916666666666671E-2</v>
      </c>
      <c r="F60" s="3" t="s">
        <v>77</v>
      </c>
      <c r="G60" s="2">
        <f t="shared" si="7"/>
        <v>0.13541666666666674</v>
      </c>
    </row>
    <row r="61" spans="2:7" ht="30" x14ac:dyDescent="0.25">
      <c r="B61" s="1">
        <v>45764</v>
      </c>
      <c r="C61" s="2">
        <v>0.91666666666666663</v>
      </c>
      <c r="D61" s="2">
        <v>1.6666666666666666E-2</v>
      </c>
      <c r="E61" t="s">
        <v>69</v>
      </c>
      <c r="F61" s="3" t="s">
        <v>78</v>
      </c>
      <c r="G61" s="2">
        <f t="shared" si="7"/>
        <v>9.9999999999999978E-2</v>
      </c>
    </row>
    <row r="62" spans="2:7" x14ac:dyDescent="0.25">
      <c r="B62" s="1">
        <v>45765</v>
      </c>
      <c r="C62" s="2">
        <v>0.86805555555555558</v>
      </c>
      <c r="D62" s="2">
        <v>1.0416666666666666E-2</v>
      </c>
      <c r="E62" t="s">
        <v>79</v>
      </c>
      <c r="F62" s="3" t="s">
        <v>80</v>
      </c>
      <c r="G62" s="2">
        <f t="shared" si="7"/>
        <v>0.14236111111111116</v>
      </c>
    </row>
    <row r="63" spans="2:7" x14ac:dyDescent="0.25">
      <c r="B63" s="1"/>
      <c r="C63" s="2"/>
      <c r="D63" s="2"/>
      <c r="E63" t="s">
        <v>74</v>
      </c>
      <c r="F63" s="3" t="s">
        <v>82</v>
      </c>
      <c r="G63" s="2">
        <f t="shared" si="7"/>
        <v>0</v>
      </c>
    </row>
    <row r="64" spans="2:7" x14ac:dyDescent="0.25">
      <c r="B64" s="1"/>
      <c r="C64" s="2"/>
      <c r="D64" s="2"/>
      <c r="E64" t="s">
        <v>45</v>
      </c>
      <c r="F64" s="3" t="s">
        <v>81</v>
      </c>
      <c r="G64" s="2">
        <f t="shared" si="7"/>
        <v>0</v>
      </c>
    </row>
    <row r="65" spans="2:7" ht="30" x14ac:dyDescent="0.25">
      <c r="B65" s="1">
        <v>45766</v>
      </c>
      <c r="C65" s="2">
        <v>0.44444444444444442</v>
      </c>
      <c r="D65" s="2">
        <v>0.60416666666666663</v>
      </c>
      <c r="E65" t="s">
        <v>45</v>
      </c>
      <c r="F65" s="3" t="s">
        <v>84</v>
      </c>
      <c r="G65" s="2">
        <f t="shared" si="7"/>
        <v>0.15972222222222221</v>
      </c>
    </row>
    <row r="66" spans="2:7" x14ac:dyDescent="0.25">
      <c r="B66" s="1"/>
      <c r="C66" s="2">
        <v>0.66666666666666663</v>
      </c>
      <c r="D66" s="2">
        <v>0.80486111111111114</v>
      </c>
      <c r="E66" t="s">
        <v>74</v>
      </c>
      <c r="F66" s="3" t="s">
        <v>85</v>
      </c>
      <c r="G66" s="2">
        <f t="shared" ref="G66:G71" si="8">IF(D66&lt;C66, D66+1, D66) - C66</f>
        <v>0.13819444444444451</v>
      </c>
    </row>
    <row r="67" spans="2:7" x14ac:dyDescent="0.25">
      <c r="B67" s="1"/>
      <c r="C67" s="2">
        <v>0.86805555555555558</v>
      </c>
      <c r="D67" s="2">
        <v>0.91666666666666663</v>
      </c>
      <c r="F67" s="3" t="s">
        <v>86</v>
      </c>
      <c r="G67" s="2">
        <f t="shared" si="8"/>
        <v>4.8611111111111049E-2</v>
      </c>
    </row>
    <row r="68" spans="2:7" x14ac:dyDescent="0.25">
      <c r="B68" s="1"/>
      <c r="C68" s="2">
        <v>0.91666666666666663</v>
      </c>
      <c r="D68" s="2">
        <v>6.9444444444444441E-3</v>
      </c>
      <c r="E68" t="s">
        <v>74</v>
      </c>
      <c r="F68" s="3" t="s">
        <v>87</v>
      </c>
      <c r="G68" s="2">
        <f t="shared" si="8"/>
        <v>9.027777777777779E-2</v>
      </c>
    </row>
    <row r="69" spans="2:7" x14ac:dyDescent="0.25">
      <c r="B69" s="1">
        <v>45767</v>
      </c>
      <c r="C69" s="2">
        <v>0.65972222222222221</v>
      </c>
      <c r="D69" s="2">
        <v>0.74513888888888891</v>
      </c>
      <c r="E69" t="s">
        <v>74</v>
      </c>
      <c r="F69" s="3" t="s">
        <v>89</v>
      </c>
      <c r="G69" s="2">
        <f t="shared" si="8"/>
        <v>8.5416666666666696E-2</v>
      </c>
    </row>
    <row r="70" spans="2:7" ht="60" x14ac:dyDescent="0.25">
      <c r="B70" s="1"/>
      <c r="C70" s="2">
        <v>0.89652777777777781</v>
      </c>
      <c r="D70" s="2">
        <v>0.12430555555555556</v>
      </c>
      <c r="E70" t="s">
        <v>88</v>
      </c>
      <c r="F70" s="3" t="s">
        <v>90</v>
      </c>
      <c r="G70" s="2">
        <f t="shared" si="8"/>
        <v>0.22777777777777763</v>
      </c>
    </row>
    <row r="71" spans="2:7" x14ac:dyDescent="0.25">
      <c r="B71" s="1">
        <v>45768</v>
      </c>
      <c r="C71" s="2">
        <v>0.40972222222222221</v>
      </c>
      <c r="D71" s="2"/>
      <c r="E71" t="s">
        <v>88</v>
      </c>
      <c r="F71" s="3" t="s">
        <v>91</v>
      </c>
      <c r="G71" s="2">
        <f t="shared" si="8"/>
        <v>0.59027777777777779</v>
      </c>
    </row>
    <row r="72" spans="2:7" x14ac:dyDescent="0.25">
      <c r="B72" s="1"/>
      <c r="C72" s="2"/>
      <c r="D72" s="2"/>
      <c r="E72" t="s">
        <v>71</v>
      </c>
      <c r="F72" s="3" t="s">
        <v>94</v>
      </c>
      <c r="G72" s="2">
        <f t="shared" ref="G72:G77" si="9">IF(D72&lt;C72, D72+1, D72) - C72</f>
        <v>0</v>
      </c>
    </row>
    <row r="73" spans="2:7" x14ac:dyDescent="0.25">
      <c r="B73" s="1">
        <v>45769</v>
      </c>
      <c r="C73" s="2">
        <v>0.64583333333333337</v>
      </c>
      <c r="D73" s="2">
        <v>0.93333333333333335</v>
      </c>
      <c r="E73" t="s">
        <v>74</v>
      </c>
      <c r="F73" s="3" t="s">
        <v>92</v>
      </c>
      <c r="G73" s="2">
        <f t="shared" si="9"/>
        <v>0.28749999999999998</v>
      </c>
    </row>
    <row r="74" spans="2:7" x14ac:dyDescent="0.25">
      <c r="C74" s="2">
        <v>0.97916666666666663</v>
      </c>
      <c r="D74" s="2">
        <v>6.8750000000000006E-2</v>
      </c>
      <c r="E74" t="s">
        <v>74</v>
      </c>
      <c r="F74" s="3" t="s">
        <v>92</v>
      </c>
      <c r="G74" s="2">
        <f t="shared" si="9"/>
        <v>8.9583333333333459E-2</v>
      </c>
    </row>
    <row r="75" spans="2:7" ht="45" x14ac:dyDescent="0.25">
      <c r="B75" s="1">
        <v>45770</v>
      </c>
      <c r="C75" s="2">
        <v>0.63888888888888884</v>
      </c>
      <c r="D75" s="2">
        <v>0.81944444444444442</v>
      </c>
      <c r="E75" t="s">
        <v>74</v>
      </c>
      <c r="F75" s="3" t="s">
        <v>93</v>
      </c>
      <c r="G75" s="2">
        <f t="shared" si="9"/>
        <v>0.18055555555555558</v>
      </c>
    </row>
    <row r="76" spans="2:7" ht="30" x14ac:dyDescent="0.25">
      <c r="C76" s="2">
        <v>0.9375</v>
      </c>
      <c r="D76" s="2">
        <v>0.97916666666666663</v>
      </c>
      <c r="E76" t="s">
        <v>74</v>
      </c>
      <c r="F76" s="3" t="s">
        <v>95</v>
      </c>
      <c r="G76" s="2">
        <f t="shared" si="9"/>
        <v>4.166666666666663E-2</v>
      </c>
    </row>
    <row r="77" spans="2:7" x14ac:dyDescent="0.25">
      <c r="B77" s="1">
        <v>45772</v>
      </c>
      <c r="C77" s="2">
        <v>0.85833333333333328</v>
      </c>
      <c r="D77" s="2">
        <v>0.95833333333333337</v>
      </c>
      <c r="E77" t="s">
        <v>74</v>
      </c>
      <c r="F77" s="3" t="s">
        <v>96</v>
      </c>
      <c r="G77" s="2">
        <f t="shared" si="9"/>
        <v>0.10000000000000009</v>
      </c>
    </row>
    <row r="78" spans="2:7" x14ac:dyDescent="0.25">
      <c r="B78" s="1">
        <v>45773</v>
      </c>
      <c r="C78" s="2">
        <v>0.45833333333333331</v>
      </c>
      <c r="E78" t="s">
        <v>74</v>
      </c>
      <c r="F78" s="3" t="s">
        <v>97</v>
      </c>
      <c r="G78" s="2">
        <f>IF(D78&lt;C78, D78+1, D78) - C78</f>
        <v>0.54166666666666674</v>
      </c>
    </row>
    <row r="81" spans="6:6" x14ac:dyDescent="0.25">
      <c r="F81" s="8" t="s">
        <v>43</v>
      </c>
    </row>
    <row r="82" spans="6:6" x14ac:dyDescent="0.25">
      <c r="F82" s="9" t="s">
        <v>42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C026B-8D30-4100-A805-D11CB8F29CB9}">
  <dimension ref="A1:A3"/>
  <sheetViews>
    <sheetView workbookViewId="0">
      <selection activeCell="A4" sqref="A4"/>
    </sheetView>
  </sheetViews>
  <sheetFormatPr defaultRowHeight="15" x14ac:dyDescent="0.25"/>
  <sheetData>
    <row r="1" spans="1:1" x14ac:dyDescent="0.25">
      <c r="A1" t="s">
        <v>65</v>
      </c>
    </row>
    <row r="2" spans="1:1" x14ac:dyDescent="0.25">
      <c r="A2" t="s">
        <v>66</v>
      </c>
    </row>
    <row r="3" spans="1:1" x14ac:dyDescent="0.25">
      <c r="A3" t="s">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Smash Dungeon</vt:lpstr>
      <vt:lpstr>Name Ideas</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2025-04-26T16:43:00Z</dcterms:modified>
</cp:coreProperties>
</file>